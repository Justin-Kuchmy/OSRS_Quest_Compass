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sonal Stats" sheetId="1" state="visible" r:id="rId3"/>
    <sheet name="Normal Runescape Quest Guide" sheetId="2" state="visible" r:id="rId4"/>
    <sheet name="Form Responses 1" sheetId="3" state="hidden" r:id="rId5"/>
    <sheet name="Sheet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<sst xmlns="http://schemas.openxmlformats.org/spreadsheetml/2006/main" count="1505" uniqueCount="263">
  <si>
    <t xml:space="preserve">AGL</t>
  </si>
  <si>
    <t xml:space="preserve">ATT</t>
  </si>
  <si>
    <t xml:space="preserve">CON</t>
  </si>
  <si>
    <t xml:space="preserve">COOK</t>
  </si>
  <si>
    <t xml:space="preserve">CRAFT</t>
  </si>
  <si>
    <t xml:space="preserve">DEF</t>
  </si>
  <si>
    <t xml:space="preserve">FARM</t>
  </si>
  <si>
    <t xml:space="preserve">FM</t>
  </si>
  <si>
    <t xml:space="preserve">FISH</t>
  </si>
  <si>
    <t xml:space="preserve">FLETCH</t>
  </si>
  <si>
    <t xml:space="preserve">HERB</t>
  </si>
  <si>
    <t xml:space="preserve">HUNT</t>
  </si>
  <si>
    <t xml:space="preserve">MAGE</t>
  </si>
  <si>
    <t xml:space="preserve">MINING</t>
  </si>
  <si>
    <t xml:space="preserve">PRAY</t>
  </si>
  <si>
    <t xml:space="preserve">RANGE</t>
  </si>
  <si>
    <t xml:space="preserve">RC</t>
  </si>
  <si>
    <t xml:space="preserve">SAIL</t>
  </si>
  <si>
    <t xml:space="preserve">SLAY</t>
  </si>
  <si>
    <t xml:space="preserve">SMITH</t>
  </si>
  <si>
    <t xml:space="preserve">STR</t>
  </si>
  <si>
    <t xml:space="preserve">THEIF</t>
  </si>
  <si>
    <t xml:space="preserve">WC</t>
  </si>
  <si>
    <t xml:space="preserve">Quest Points</t>
  </si>
  <si>
    <t xml:space="preserve">Combat</t>
  </si>
  <si>
    <t xml:space="preserve">
</t>
  </si>
  <si>
    <t xml:space="preserve">Animal Magnetism</t>
  </si>
  <si>
    <t xml:space="preserve">Another Slice of H.A.M.</t>
  </si>
  <si>
    <t xml:space="preserve">Between a Rock…</t>
  </si>
  <si>
    <t xml:space="preserve">Big Chompy Bird Hunting</t>
  </si>
  <si>
    <t xml:space="preserve">Biohazard</t>
  </si>
  <si>
    <t xml:space="preserve">Black Knight's Fortress</t>
  </si>
  <si>
    <t xml:space="preserve">Cabin Fever</t>
  </si>
  <si>
    <t xml:space="preserve">Clock Tower</t>
  </si>
  <si>
    <t xml:space="preserve">Cold War</t>
  </si>
  <si>
    <t xml:space="preserve">Contact!</t>
  </si>
  <si>
    <t xml:space="preserve">Cook's Assistant</t>
  </si>
  <si>
    <t xml:space="preserve">Creature of Fenkenstrain</t>
  </si>
  <si>
    <t xml:space="preserve">Darkness of Hallowvale</t>
  </si>
  <si>
    <t xml:space="preserve">Death Plateau</t>
  </si>
  <si>
    <t xml:space="preserve">Death to the Dorgeshuun</t>
  </si>
  <si>
    <t xml:space="preserve">Demon Slayer</t>
  </si>
  <si>
    <t xml:space="preserve">Desert Treasure</t>
  </si>
  <si>
    <t xml:space="preserve">Devious Minds</t>
  </si>
  <si>
    <t xml:space="preserve">Digsite, The </t>
  </si>
  <si>
    <t xml:space="preserve">Doric's Quest</t>
  </si>
  <si>
    <t xml:space="preserve">Dragon Slayer</t>
  </si>
  <si>
    <t xml:space="preserve">Dream Mentor</t>
  </si>
  <si>
    <t xml:space="preserve">Druidic Ritual</t>
  </si>
  <si>
    <t xml:space="preserve">Dwarf Cannon</t>
  </si>
  <si>
    <t xml:space="preserve">Eadgar's Ruse</t>
  </si>
  <si>
    <t xml:space="preserve">Eagles' Peak</t>
  </si>
  <si>
    <t xml:space="preserve">Elemental Workshop I</t>
  </si>
  <si>
    <t xml:space="preserve">Elemental Workshop II</t>
  </si>
  <si>
    <t xml:space="preserve">Enakhra's Lament</t>
  </si>
  <si>
    <t xml:space="preserve">Enlightened Journey</t>
  </si>
  <si>
    <t xml:space="preserve">Ernest the Chicken</t>
  </si>
  <si>
    <t xml:space="preserve">Eyes of Glouphrie, The </t>
  </si>
  <si>
    <t xml:space="preserve">Fairytale I</t>
  </si>
  <si>
    <t xml:space="preserve">Fairytale II</t>
  </si>
  <si>
    <t xml:space="preserve">Family Crest</t>
  </si>
  <si>
    <t xml:space="preserve">Feud, The </t>
  </si>
  <si>
    <t xml:space="preserve">Fight Arena</t>
  </si>
  <si>
    <t xml:space="preserve">Fishing Contest</t>
  </si>
  <si>
    <t xml:space="preserve">Forgettable Tale of a Drunken Dwarf</t>
  </si>
  <si>
    <t xml:space="preserve">Fremennik Isles, The </t>
  </si>
  <si>
    <t xml:space="preserve">Fremennik Trials, The </t>
  </si>
  <si>
    <t xml:space="preserve">Garden of Tranquillity</t>
  </si>
  <si>
    <t xml:space="preserve">Gertrude's Cat</t>
  </si>
  <si>
    <t xml:space="preserve">Ghosts Ahoy</t>
  </si>
  <si>
    <t xml:space="preserve">Giant Dwarf, The </t>
  </si>
  <si>
    <t xml:space="preserve">Goblin Diplomacy</t>
  </si>
  <si>
    <t xml:space="preserve">Golem, The </t>
  </si>
  <si>
    <t xml:space="preserve">Grand Tree, The </t>
  </si>
  <si>
    <t xml:space="preserve">Great Brain Robbery, The </t>
  </si>
  <si>
    <t xml:space="preserve">Grim tales</t>
  </si>
  <si>
    <t xml:space="preserve">Hand in the Sand, The </t>
  </si>
  <si>
    <t xml:space="preserve">Haunted Mine</t>
  </si>
  <si>
    <t xml:space="preserve">Hazeel Cult</t>
  </si>
  <si>
    <t xml:space="preserve">Heroes Quest</t>
  </si>
  <si>
    <t xml:space="preserve">Holy Grail</t>
  </si>
  <si>
    <t xml:space="preserve">Horror from the Deep</t>
  </si>
  <si>
    <t xml:space="preserve">Icthlarin's Little Helper</t>
  </si>
  <si>
    <t xml:space="preserve">Imp Catcher</t>
  </si>
  <si>
    <t xml:space="preserve">In Aid of the Myreque</t>
  </si>
  <si>
    <t xml:space="preserve">Jungle Potion</t>
  </si>
  <si>
    <t xml:space="preserve">King's Ransom</t>
  </si>
  <si>
    <t xml:space="preserve">Knight's Sword, The </t>
  </si>
  <si>
    <t xml:space="preserve">Legends Quest</t>
  </si>
  <si>
    <t xml:space="preserve">Lost City</t>
  </si>
  <si>
    <t xml:space="preserve">Lost Tribe, The </t>
  </si>
  <si>
    <t xml:space="preserve">Lunar Diplomacy</t>
  </si>
  <si>
    <t xml:space="preserve">Making History</t>
  </si>
  <si>
    <t xml:space="preserve">Merlin's Crystal</t>
  </si>
  <si>
    <t xml:space="preserve">Monkey Madness</t>
  </si>
  <si>
    <t xml:space="preserve">Monk's Friend</t>
  </si>
  <si>
    <t xml:space="preserve">Mountain Daughter</t>
  </si>
  <si>
    <t xml:space="preserve">Mourning's Ends Part I</t>
  </si>
  <si>
    <t xml:space="preserve">Mourning's Ends Part II</t>
  </si>
  <si>
    <t xml:space="preserve">Murder Mystery</t>
  </si>
  <si>
    <t xml:space="preserve">My Arm's Big Adventure</t>
  </si>
  <si>
    <t xml:space="preserve">Nature Spirit</t>
  </si>
  <si>
    <t xml:space="preserve">Observatory Quest</t>
  </si>
  <si>
    <t xml:space="preserve">Olaf's Quest</t>
  </si>
  <si>
    <t xml:space="preserve">One Small Favour</t>
  </si>
  <si>
    <t xml:space="preserve">Pirate's Treasure</t>
  </si>
  <si>
    <t xml:space="preserve">Plague City</t>
  </si>
  <si>
    <t xml:space="preserve">Priest in Peril</t>
  </si>
  <si>
    <t xml:space="preserve">Prince Ali Rescue</t>
  </si>
  <si>
    <t xml:space="preserve">Rag and Bone Man</t>
  </si>
  <si>
    <t xml:space="preserve">Rat Catchers</t>
  </si>
  <si>
    <t xml:space="preserve">Recipe for Disaster</t>
  </si>
  <si>
    <t xml:space="preserve">Recruitment Drive</t>
  </si>
  <si>
    <t xml:space="preserve">Regicide</t>
  </si>
  <si>
    <t xml:space="preserve">Restless Ghost, The </t>
  </si>
  <si>
    <t xml:space="preserve">Romeo &amp; Juliet</t>
  </si>
  <si>
    <t xml:space="preserve">Roving Elves</t>
  </si>
  <si>
    <t xml:space="preserve">Royal Trouble</t>
  </si>
  <si>
    <t xml:space="preserve">Rum Deal</t>
  </si>
  <si>
    <t xml:space="preserve">Rune Mysteries</t>
  </si>
  <si>
    <t xml:space="preserve">Scorpion Catcher</t>
  </si>
  <si>
    <t xml:space="preserve">Sea Slug</t>
  </si>
  <si>
    <t xml:space="preserve">Shades of Mort'ton</t>
  </si>
  <si>
    <t xml:space="preserve">Shadow of the Storm</t>
  </si>
  <si>
    <t xml:space="preserve">Sheep Herder</t>
  </si>
  <si>
    <t xml:space="preserve">Sheep Shearer</t>
  </si>
  <si>
    <t xml:space="preserve">Shield of Arrav</t>
  </si>
  <si>
    <t xml:space="preserve">Shilo Village</t>
  </si>
  <si>
    <t xml:space="preserve">Slug Menace, The </t>
  </si>
  <si>
    <t xml:space="preserve">Soul's Bane, A </t>
  </si>
  <si>
    <t xml:space="preserve">Spirits of the Elid</t>
  </si>
  <si>
    <t xml:space="preserve">Swan Song</t>
  </si>
  <si>
    <t xml:space="preserve">Tai Bwo Wannai Trio</t>
  </si>
  <si>
    <t xml:space="preserve">Tail of Two Cats, A </t>
  </si>
  <si>
    <t xml:space="preserve">Tears of Guthix</t>
  </si>
  <si>
    <t xml:space="preserve">Temple Ikov</t>
  </si>
  <si>
    <t xml:space="preserve">Throne of Miscellania</t>
  </si>
  <si>
    <t xml:space="preserve">Tourist Trap, The </t>
  </si>
  <si>
    <t xml:space="preserve">Tower of Life</t>
  </si>
  <si>
    <t xml:space="preserve">Tree Gnome Village</t>
  </si>
  <si>
    <t xml:space="preserve">Tribal Totem</t>
  </si>
  <si>
    <t xml:space="preserve">Troll Romance</t>
  </si>
  <si>
    <t xml:space="preserve">Troll Stronghold</t>
  </si>
  <si>
    <t xml:space="preserve">Underground Pass</t>
  </si>
  <si>
    <t xml:space="preserve">Vampire Slayer</t>
  </si>
  <si>
    <t xml:space="preserve">Wanted!</t>
  </si>
  <si>
    <t xml:space="preserve">Watchtower</t>
  </si>
  <si>
    <t xml:space="preserve">Waterfall Quest</t>
  </si>
  <si>
    <t xml:space="preserve">What Lies Below</t>
  </si>
  <si>
    <t xml:space="preserve">Witch's House</t>
  </si>
  <si>
    <t xml:space="preserve">Witch's Potion</t>
  </si>
  <si>
    <t xml:space="preserve">Zogre Flesh Eaters</t>
  </si>
  <si>
    <t xml:space="preserve">In Search of the Myreque</t>
  </si>
  <si>
    <t xml:space="preserve">Monkey Madness II</t>
  </si>
  <si>
    <t xml:space="preserve">Misthalin Mystery</t>
  </si>
  <si>
    <t xml:space="preserve">Client of Kourend</t>
  </si>
  <si>
    <t xml:space="preserve">Bone Voyage</t>
  </si>
  <si>
    <t xml:space="preserve">Queen of Thieves, The </t>
  </si>
  <si>
    <t xml:space="preserve">Depths of Despair, The </t>
  </si>
  <si>
    <t xml:space="preserve">Curse of Arrav, The </t>
  </si>
  <si>
    <t xml:space="preserve">Dragon Slayer II</t>
  </si>
  <si>
    <t xml:space="preserve">Tale of the Righteous</t>
  </si>
  <si>
    <t xml:space="preserve">Taste of Hope, A </t>
  </si>
  <si>
    <t xml:space="preserve">Making Friends with My Arm</t>
  </si>
  <si>
    <t xml:space="preserve">Ascent of Arceuus, The </t>
  </si>
  <si>
    <t xml:space="preserve">forsaken Tower, The </t>
  </si>
  <si>
    <t xml:space="preserve">X Marks the Spot</t>
  </si>
  <si>
    <t xml:space="preserve">Song of the Elves</t>
  </si>
  <si>
    <t xml:space="preserve">Fremennik Exiles, The </t>
  </si>
  <si>
    <t xml:space="preserve">Sins of the Father</t>
  </si>
  <si>
    <t xml:space="preserve">Porcine of Interest, A </t>
  </si>
  <si>
    <t xml:space="preserve">Getting Ahead</t>
  </si>
  <si>
    <t xml:space="preserve">Below Ice Mountain</t>
  </si>
  <si>
    <t xml:space="preserve">Night at the Theatre, A </t>
  </si>
  <si>
    <t xml:space="preserve">Kingdom Divided, A </t>
  </si>
  <si>
    <t xml:space="preserve">Land of the Goblins</t>
  </si>
  <si>
    <t xml:space="preserve">Temple of the Eye</t>
  </si>
  <si>
    <t xml:space="preserve">Beneath Cursed Sands</t>
  </si>
  <si>
    <t xml:space="preserve">Sleeping Giants</t>
  </si>
  <si>
    <t xml:space="preserve">Garden of Death, The </t>
  </si>
  <si>
    <t xml:space="preserve">Secrets of the North</t>
  </si>
  <si>
    <t xml:space="preserve">Desert Treasure II</t>
  </si>
  <si>
    <t xml:space="preserve">Path of Glouphrie, The </t>
  </si>
  <si>
    <t xml:space="preserve">Children of the Sun</t>
  </si>
  <si>
    <t xml:space="preserve">Defender of Varrock</t>
  </si>
  <si>
    <t xml:space="preserve">Twilight’s Promise</t>
  </si>
  <si>
    <t xml:space="preserve">At First Light</t>
  </si>
  <si>
    <t xml:space="preserve">Perilous Moons</t>
  </si>
  <si>
    <t xml:space="preserve">Ribbiting Tale of a Lily Pad Labour Dispute, The </t>
  </si>
  <si>
    <t xml:space="preserve">While Guthix Sleeps</t>
  </si>
  <si>
    <t xml:space="preserve">Heart Of Darkness, The </t>
  </si>
  <si>
    <t xml:space="preserve">Death on the Isle</t>
  </si>
  <si>
    <t xml:space="preserve">Meat and Greet</t>
  </si>
  <si>
    <t xml:space="preserve">Ethically Acquired Antiquities</t>
  </si>
  <si>
    <t xml:space="preserve">Curse of Arrav, The</t>
  </si>
  <si>
    <t xml:space="preserve">Final Dawn, The </t>
  </si>
  <si>
    <t xml:space="preserve">Shadows of Custodia</t>
  </si>
  <si>
    <t xml:space="preserve">Scrambled!</t>
  </si>
  <si>
    <t xml:space="preserve">Pandemonium</t>
  </si>
  <si>
    <t xml:space="preserve">Prying Times</t>
  </si>
  <si>
    <t xml:space="preserve">Current Affairs</t>
  </si>
  <si>
    <t xml:space="preserve">Troubled Tortugans</t>
  </si>
  <si>
    <t xml:space="preserve">Agil</t>
  </si>
  <si>
    <t xml:space="preserve">Att</t>
  </si>
  <si>
    <t xml:space="preserve">Con</t>
  </si>
  <si>
    <t xml:space="preserve">Cook</t>
  </si>
  <si>
    <t xml:space="preserve">Craft</t>
  </si>
  <si>
    <t xml:space="preserve">Def</t>
  </si>
  <si>
    <t xml:space="preserve">Farm</t>
  </si>
  <si>
    <t xml:space="preserve">Fish</t>
  </si>
  <si>
    <t xml:space="preserve">Fletch</t>
  </si>
  <si>
    <t xml:space="preserve">Herb</t>
  </si>
  <si>
    <t xml:space="preserve">Hunt</t>
  </si>
  <si>
    <t xml:space="preserve">Magic</t>
  </si>
  <si>
    <t xml:space="preserve">Mine</t>
  </si>
  <si>
    <t xml:space="preserve">Pray</t>
  </si>
  <si>
    <t xml:space="preserve">Range</t>
  </si>
  <si>
    <t xml:space="preserve">Sailing</t>
  </si>
  <si>
    <t xml:space="preserve">Slay</t>
  </si>
  <si>
    <t xml:space="preserve">Smith</t>
  </si>
  <si>
    <t xml:space="preserve">Str</t>
  </si>
  <si>
    <t xml:space="preserve">Thieve</t>
  </si>
  <si>
    <t xml:space="preserve">QP</t>
  </si>
  <si>
    <t xml:space="preserve">Levels Needed</t>
  </si>
  <si>
    <t xml:space="preserve">Quest</t>
  </si>
  <si>
    <t xml:space="preserve">Available?</t>
  </si>
  <si>
    <t xml:space="preserve">Complete?</t>
  </si>
  <si>
    <t xml:space="preserve">Pre-Req?</t>
  </si>
  <si>
    <t xml:space="preserve">Stats?</t>
  </si>
  <si>
    <t xml:space="preserve">Y</t>
  </si>
  <si>
    <t xml:space="preserve">N</t>
  </si>
  <si>
    <t xml:space="preserve">Digsite, The</t>
  </si>
  <si>
    <t xml:space="preserve">Eyes of Glouphrie, The</t>
  </si>
  <si>
    <t xml:space="preserve">Feud, The</t>
  </si>
  <si>
    <t xml:space="preserve">Fremennik Isles, The</t>
  </si>
  <si>
    <t xml:space="preserve">Fremennik Trials, The</t>
  </si>
  <si>
    <t xml:space="preserve">Giant Dwarf, The</t>
  </si>
  <si>
    <t xml:space="preserve">Golem, The</t>
  </si>
  <si>
    <t xml:space="preserve">Grand Tree, The</t>
  </si>
  <si>
    <t xml:space="preserve">Great Brain Robbery, The</t>
  </si>
  <si>
    <t xml:space="preserve">Hand in the Sand, The</t>
  </si>
  <si>
    <t xml:space="preserve">Knight's Sword, The</t>
  </si>
  <si>
    <t xml:space="preserve">Lost Tribe, The</t>
  </si>
  <si>
    <t xml:space="preserve">Restless Ghost, The</t>
  </si>
  <si>
    <t xml:space="preserve">Slug Menace, The</t>
  </si>
  <si>
    <t xml:space="preserve">Soul's Bane, A</t>
  </si>
  <si>
    <t xml:space="preserve">Tail of Two Cats, A</t>
  </si>
  <si>
    <t xml:space="preserve">Tourist Trap, The</t>
  </si>
  <si>
    <t xml:space="preserve">Queen of Thieves, The</t>
  </si>
  <si>
    <t xml:space="preserve">Depths of Despair, The</t>
  </si>
  <si>
    <t xml:space="preserve">Taste of Hope, A</t>
  </si>
  <si>
    <t xml:space="preserve">Ascent of Arceuus, The</t>
  </si>
  <si>
    <t xml:space="preserve">forsaken Tower, The</t>
  </si>
  <si>
    <t xml:space="preserve">Fremennik Exiles, The</t>
  </si>
  <si>
    <t xml:space="preserve">Porcine of Interest, A</t>
  </si>
  <si>
    <t xml:space="preserve">Night at the Theatre, A</t>
  </si>
  <si>
    <t xml:space="preserve">Kingdom Divided, A</t>
  </si>
  <si>
    <t xml:space="preserve">Garden of Death, The</t>
  </si>
  <si>
    <t xml:space="preserve">Path of Glouphrie, The</t>
  </si>
  <si>
    <t xml:space="preserve">Ribbiting Tale of a Lily Pad Labour Dispute, The</t>
  </si>
  <si>
    <t xml:space="preserve">Heart Of Darkness, The</t>
  </si>
  <si>
    <t xml:space="preserve">Final Dawn, The</t>
  </si>
  <si>
    <t xml:space="preserve">#REF!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</si>
</sst>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&quot;TRUE&quot;;&quot;TRUE&quot;;&quot;FALSE&quot;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ntarell Extra Bold"/>
      <family val="0"/>
      <charset val="1"/>
    </font>
    <font>
      <sz val="11"/>
      <color rgb="FF000000"/>
      <name val="Cantarell Extra Bold"/>
      <family val="0"/>
      <charset val="1"/>
    </font>
    <font>
      <sz val="10"/>
      <color rgb="FF000000"/>
      <name val="Cantarell Extra Bold"/>
      <family val="0"/>
      <charset val="1"/>
    </font>
    <font>
      <sz val="11"/>
      <color rgb="FF000000"/>
      <name val="Cambria"/>
      <family val="0"/>
      <charset val="1"/>
    </font>
    <font>
      <sz val="11"/>
      <name val="Cambria"/>
      <family val="0"/>
      <charset val="1"/>
    </font>
    <font>
      <sz val="11"/>
      <color rgb="FFE8E6E3"/>
      <name val="Cambria"/>
      <family val="0"/>
      <charset val="1"/>
    </font>
    <font>
      <sz val="11"/>
      <color rgb="FF000000"/>
      <name val="Cambria"/>
      <family val="1"/>
      <charset val="1"/>
    </font>
    <font>
      <sz val="11"/>
      <color rgb="FF0000FF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1"/>
      <color rgb="FF000000"/>
      <name val="Cambria"/>
      <family val="0"/>
      <charset val="1"/>
    </font>
    <font>
      <b val="true"/>
      <sz val="10"/>
      <color rgb="FF000000"/>
      <name val="Arial"/>
      <family val="0"/>
      <charset val="1"/>
    </font>
    <font>
      <sz val="14"/>
      <color rgb="FF000000"/>
      <name val="Andale Mono"/>
      <family val="0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nditionalStyle_4 1" xfId="20"/>
  </cellStyles>
  <dxfs count="4">
    <dxf>
      <fill>
        <patternFill>
          <bgColor rgb="FFE7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name val="Arial"/>
        <charset val="1"/>
        <family val="0"/>
        <color rgb="FF000000"/>
      </font>
      <numFmt numFmtId="164" formatCode="General"/>
      <fill>
        <patternFill>
          <bgColor rgb="FFE70000"/>
        </patternFill>
      </fill>
    </dxf>
  </dxfs>
  <colors>
    <indexedColors>
      <rgbColor rgb="FF000000"/>
      <rgbColor rgb="FFFFFFFF"/>
      <rgbColor rgb="FFE7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6E3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ldschool.runescape.wiki/w/Pandemonium" TargetMode="External"/><Relationship Id="rId2" Type="http://schemas.openxmlformats.org/officeDocument/2006/relationships/hyperlink" Target="https://oldschool.runescape.wiki/w/Prying_Times" TargetMode="External"/><Relationship Id="rId3" Type="http://schemas.openxmlformats.org/officeDocument/2006/relationships/hyperlink" Target="https://oldschool.runescape.wiki/w/Current_Affairs" TargetMode="External"/><Relationship Id="rId4" Type="http://schemas.openxmlformats.org/officeDocument/2006/relationships/hyperlink" Target="https://oldschool.runescape.wiki/w/Troubled_Tortugans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oldschool.runescape.wiki/w/Pandemonium" TargetMode="External"/><Relationship Id="rId2" Type="http://schemas.openxmlformats.org/officeDocument/2006/relationships/hyperlink" Target="https://oldschool.runescape.wiki/w/Pandemonium" TargetMode="External"/><Relationship Id="rId3" Type="http://schemas.openxmlformats.org/officeDocument/2006/relationships/hyperlink" Target="https://oldschool.runescape.wiki/w/Prying_Times" TargetMode="External"/><Relationship Id="rId4" Type="http://schemas.openxmlformats.org/officeDocument/2006/relationships/hyperlink" Target="https://oldschool.runescape.wiki/w/Prying_Times" TargetMode="External"/><Relationship Id="rId5" Type="http://schemas.openxmlformats.org/officeDocument/2006/relationships/hyperlink" Target="https://oldschool.runescape.wiki/w/Current_Affairs" TargetMode="External"/><Relationship Id="rId6" Type="http://schemas.openxmlformats.org/officeDocument/2006/relationships/hyperlink" Target="https://oldschool.runescape.wiki/w/Current_Affairs" TargetMode="External"/><Relationship Id="rId7" Type="http://schemas.openxmlformats.org/officeDocument/2006/relationships/hyperlink" Target="https://oldschool.runescape.wiki/w/Troubled_Tortugans" TargetMode="External"/><Relationship Id="rId8" Type="http://schemas.openxmlformats.org/officeDocument/2006/relationships/hyperlink" Target="https://oldschool.runescape.wiki/w/Troubled_Tortugan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oldschool.runescape.wiki/w/Current_Affairs" TargetMode="External"/><Relationship Id="rId2" Type="http://schemas.openxmlformats.org/officeDocument/2006/relationships/hyperlink" Target="https://oldschool.runescape.wiki/w/Current_Affairs" TargetMode="External"/><Relationship Id="rId3" Type="http://schemas.openxmlformats.org/officeDocument/2006/relationships/hyperlink" Target="https://oldschool.runescape.wiki/w/Pandemonium" TargetMode="External"/><Relationship Id="rId4" Type="http://schemas.openxmlformats.org/officeDocument/2006/relationships/hyperlink" Target="https://oldschool.runescape.wiki/w/Pandemonium" TargetMode="External"/><Relationship Id="rId5" Type="http://schemas.openxmlformats.org/officeDocument/2006/relationships/hyperlink" Target="https://oldschool.runescape.wiki/w/Prying_Times" TargetMode="External"/><Relationship Id="rId6" Type="http://schemas.openxmlformats.org/officeDocument/2006/relationships/hyperlink" Target="https://oldschool.runescape.wiki/w/Prying_Times" TargetMode="External"/><Relationship Id="rId7" Type="http://schemas.openxmlformats.org/officeDocument/2006/relationships/hyperlink" Target="https://oldschool.runescape.wiki/w/Troubled_Tortugans" TargetMode="External"/><Relationship Id="rId8" Type="http://schemas.openxmlformats.org/officeDocument/2006/relationships/hyperlink" Target="https://oldschool.runescape.wiki/w/Troubled_Tortuga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8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" activeCellId="0" sqref="E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41.36"/>
    <col collapsed="false" customWidth="true" hidden="false" outlineLevel="0" max="3" min="3" style="1" width="9.56"/>
    <col collapsed="false" customWidth="true" hidden="false" outlineLevel="0" max="5" min="5" style="1" width="34.32"/>
    <col collapsed="false" customWidth="true" hidden="false" outlineLevel="0" max="18" min="18" style="1" width="16.34"/>
    <col collapsed="false" customWidth="true" hidden="false" outlineLevel="0" max="24" min="24" style="1" width="17.91"/>
  </cols>
  <sheetData>
    <row r="1" customFormat="false" ht="15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AA1" s="4"/>
      <c r="AB1" s="2"/>
      <c r="AC1" s="2"/>
      <c r="AD1" s="4"/>
      <c r="AE1" s="4"/>
      <c r="AF1" s="4"/>
      <c r="AG1" s="4"/>
    </row>
    <row r="2" customFormat="false" ht="15.85" hidden="false" customHeight="false" outlineLevel="0" collapsed="false">
      <c r="A2" s="5" t="n">
        <v>45</v>
      </c>
      <c r="B2" s="5" t="n">
        <v>60</v>
      </c>
      <c r="C2" s="5" t="n">
        <v>52</v>
      </c>
      <c r="D2" s="5" t="n">
        <v>66</v>
      </c>
      <c r="E2" s="5" t="n">
        <v>50</v>
      </c>
      <c r="F2" s="5" t="n">
        <v>70</v>
      </c>
      <c r="G2" s="5" t="n">
        <v>52</v>
      </c>
      <c r="H2" s="5" t="n">
        <v>66</v>
      </c>
      <c r="I2" s="5" t="n">
        <v>62</v>
      </c>
      <c r="J2" s="5" t="n">
        <v>52</v>
      </c>
      <c r="K2" s="5" t="n">
        <v>54</v>
      </c>
      <c r="L2" s="5" t="n">
        <v>42</v>
      </c>
      <c r="M2" s="5" t="n">
        <v>67</v>
      </c>
      <c r="N2" s="5" t="n">
        <v>51</v>
      </c>
      <c r="O2" s="5" t="n">
        <v>70</v>
      </c>
      <c r="P2" s="5" t="n">
        <v>75</v>
      </c>
      <c r="Q2" s="5" t="n">
        <v>23</v>
      </c>
      <c r="R2" s="1" t="n">
        <v>48</v>
      </c>
      <c r="S2" s="5" t="n">
        <v>47</v>
      </c>
      <c r="T2" s="5" t="n">
        <v>53</v>
      </c>
      <c r="U2" s="5" t="n">
        <v>70</v>
      </c>
      <c r="V2" s="5" t="n">
        <v>54</v>
      </c>
      <c r="W2" s="5" t="n">
        <v>60</v>
      </c>
      <c r="X2" s="5" t="n">
        <v>191</v>
      </c>
      <c r="Y2" s="1" t="n">
        <v>86</v>
      </c>
    </row>
    <row r="3" customFormat="false" ht="15.85" hidden="false" customHeight="false" outlineLevel="0" collapsed="false">
      <c r="G3" s="6"/>
      <c r="H3" s="5"/>
      <c r="I3" s="7"/>
    </row>
    <row r="4" customFormat="false" ht="31.3" hidden="false" customHeight="false" outlineLevel="0" collapsed="false">
      <c r="F4" s="6" t="s">
        <v>25</v>
      </c>
      <c r="G4" s="6"/>
      <c r="H4" s="5"/>
      <c r="I4" s="7"/>
    </row>
    <row r="5" customFormat="false" ht="15.75" hidden="false" customHeight="false" outlineLevel="0" collapsed="false">
      <c r="G5" s="6"/>
      <c r="H5" s="5"/>
      <c r="I5" s="7"/>
    </row>
    <row r="6" customFormat="false" ht="15.75" hidden="false" customHeight="false" outlineLevel="0" collapsed="false">
      <c r="G6" s="6"/>
      <c r="H6" s="5"/>
      <c r="I6" s="7"/>
    </row>
    <row r="7" customFormat="false" ht="15.75" hidden="false" customHeight="false" outlineLevel="0" collapsed="false">
      <c r="G7" s="6"/>
      <c r="H7" s="5"/>
      <c r="I7" s="7"/>
    </row>
    <row r="8" customFormat="false" ht="15.75" hidden="false" customHeight="false" outlineLevel="0" collapsed="false">
      <c r="G8" s="6"/>
      <c r="H8" s="5"/>
      <c r="I8" s="7"/>
    </row>
    <row r="9" customFormat="false" ht="15.75" hidden="false" customHeight="false" outlineLevel="0" collapsed="false">
      <c r="G9" s="6"/>
      <c r="H9" s="5"/>
      <c r="I9" s="7"/>
    </row>
    <row r="10" customFormat="false" ht="15.75" hidden="false" customHeight="false" outlineLevel="0" collapsed="false">
      <c r="G10" s="6"/>
      <c r="H10" s="5"/>
      <c r="I10" s="7"/>
    </row>
    <row r="11" customFormat="false" ht="15.75" hidden="false" customHeight="false" outlineLevel="0" collapsed="false">
      <c r="G11" s="6"/>
      <c r="H11" s="5"/>
      <c r="I11" s="7"/>
    </row>
    <row r="12" customFormat="false" ht="15.75" hidden="false" customHeight="false" outlineLevel="0" collapsed="false">
      <c r="G12" s="6"/>
      <c r="H12" s="5"/>
      <c r="I12" s="7"/>
    </row>
    <row r="13" customFormat="false" ht="15.75" hidden="false" customHeight="false" outlineLevel="0" collapsed="false">
      <c r="A13" s="1" t="n">
        <v>5</v>
      </c>
      <c r="B13" s="8" t="s">
        <v>26</v>
      </c>
      <c r="E13" s="8" t="s">
        <v>26</v>
      </c>
      <c r="F13" s="1" t="str">
        <f aca="false">IFERROR(ADDRESS(MATCH(E13, $B$13:$B$24, 0) + 12, COLUMN(B1)), "Not Found")</f>
        <v>$B$13</v>
      </c>
      <c r="H13" s="5"/>
      <c r="I13" s="7"/>
    </row>
    <row r="14" customFormat="false" ht="15.75" hidden="false" customHeight="false" outlineLevel="0" collapsed="false">
      <c r="A14" s="1" t="n">
        <v>6</v>
      </c>
      <c r="B14" s="8" t="s">
        <v>27</v>
      </c>
      <c r="E14" s="8" t="s">
        <v>27</v>
      </c>
      <c r="F14" s="1" t="str">
        <f aca="false">IFERROR(ADDRESS(MATCH(E14, $B$13:$B$24, 0) + 12, COLUMN(B2)), "Not Found")</f>
        <v>$B$14</v>
      </c>
      <c r="G14" s="6"/>
      <c r="H14" s="5"/>
      <c r="I14" s="7"/>
    </row>
    <row r="15" customFormat="false" ht="15.75" hidden="false" customHeight="false" outlineLevel="0" collapsed="false">
      <c r="A15" s="1" t="n">
        <v>7</v>
      </c>
      <c r="B15" s="8" t="s">
        <v>28</v>
      </c>
      <c r="E15" s="8" t="s">
        <v>28</v>
      </c>
      <c r="F15" s="1" t="str">
        <f aca="false">IFERROR(ADDRESS(MATCH(E15, $B$13:$B$24, 0) + 12, COLUMN(B3)), "Not Found")</f>
        <v>$B$15</v>
      </c>
      <c r="G15" s="6"/>
      <c r="H15" s="5"/>
      <c r="I15" s="7"/>
    </row>
    <row r="16" customFormat="false" ht="15.75" hidden="false" customHeight="false" outlineLevel="0" collapsed="false">
      <c r="A16" s="1" t="n">
        <v>8</v>
      </c>
      <c r="B16" s="8" t="s">
        <v>29</v>
      </c>
      <c r="E16" s="8" t="s">
        <v>29</v>
      </c>
      <c r="F16" s="1" t="str">
        <f aca="false">IFERROR(ADDRESS(MATCH(E16, $B$13:$B$24, 0) + 12, COLUMN(B4)), "Not Found")</f>
        <v>$B$16</v>
      </c>
      <c r="G16" s="6"/>
      <c r="H16" s="5"/>
      <c r="I16" s="7"/>
    </row>
    <row r="17" customFormat="false" ht="15.75" hidden="false" customHeight="false" outlineLevel="0" collapsed="false">
      <c r="A17" s="1" t="n">
        <v>9</v>
      </c>
      <c r="B17" s="8" t="s">
        <v>30</v>
      </c>
      <c r="E17" s="8" t="s">
        <v>30</v>
      </c>
      <c r="F17" s="1" t="str">
        <f aca="false">IFERROR(ADDRESS(MATCH(E17, $B$13:$B$24, 0) + 12, COLUMN(B5)), "Not Found")</f>
        <v>$B$17</v>
      </c>
      <c r="G17" s="6"/>
      <c r="H17" s="5"/>
      <c r="I17" s="7"/>
    </row>
    <row r="18" customFormat="false" ht="15.75" hidden="false" customHeight="false" outlineLevel="0" collapsed="false">
      <c r="A18" s="1" t="n">
        <v>10</v>
      </c>
      <c r="B18" s="8" t="s">
        <v>31</v>
      </c>
      <c r="E18" s="8" t="s">
        <v>31</v>
      </c>
      <c r="F18" s="1" t="str">
        <f aca="false">IFERROR(ADDRESS(MATCH(E18, $B$13:$B$24, 0) + 12, COLUMN(B6)), "Not Found")</f>
        <v>$B$18</v>
      </c>
      <c r="G18" s="6"/>
      <c r="H18" s="5"/>
      <c r="I18" s="7"/>
    </row>
    <row r="19" customFormat="false" ht="15.75" hidden="false" customHeight="false" outlineLevel="0" collapsed="false">
      <c r="A19" s="1" t="n">
        <v>11</v>
      </c>
      <c r="B19" s="8" t="s">
        <v>32</v>
      </c>
      <c r="E19" s="8" t="s">
        <v>32</v>
      </c>
      <c r="F19" s="1" t="str">
        <f aca="false">IFERROR(ADDRESS(MATCH(E19, $B$13:$B$24, 0) + 12, COLUMN(B7)), "Not Found")</f>
        <v>$B$19</v>
      </c>
      <c r="G19" s="6"/>
      <c r="H19" s="5"/>
      <c r="I19" s="7"/>
    </row>
    <row r="20" customFormat="false" ht="15.75" hidden="false" customHeight="false" outlineLevel="0" collapsed="false">
      <c r="A20" s="1" t="n">
        <v>12</v>
      </c>
      <c r="B20" s="8" t="s">
        <v>33</v>
      </c>
      <c r="E20" s="8" t="s">
        <v>33</v>
      </c>
      <c r="F20" s="1" t="str">
        <f aca="false">IFERROR(ADDRESS(MATCH(E20, $B$13:$B$24, 0) + 12, COLUMN(B8)), "Not Found")</f>
        <v>$B$20</v>
      </c>
      <c r="G20" s="6"/>
      <c r="H20" s="5"/>
      <c r="I20" s="7"/>
    </row>
    <row r="21" customFormat="false" ht="15.75" hidden="false" customHeight="false" outlineLevel="0" collapsed="false">
      <c r="A21" s="1" t="n">
        <v>13</v>
      </c>
      <c r="B21" s="8" t="s">
        <v>34</v>
      </c>
      <c r="E21" s="8" t="s">
        <v>34</v>
      </c>
      <c r="F21" s="1" t="str">
        <f aca="false">IFERROR(ADDRESS(MATCH(E21, $B$13:$B$24, 0) + 12, COLUMN(B9)), "Not Found")</f>
        <v>$B$21</v>
      </c>
      <c r="G21" s="6"/>
      <c r="H21" s="5"/>
      <c r="I21" s="7"/>
    </row>
    <row r="22" customFormat="false" ht="15.75" hidden="false" customHeight="false" outlineLevel="0" collapsed="false">
      <c r="A22" s="1" t="n">
        <v>14</v>
      </c>
      <c r="B22" s="8" t="s">
        <v>35</v>
      </c>
      <c r="E22" s="8" t="s">
        <v>35</v>
      </c>
      <c r="F22" s="1" t="str">
        <f aca="false">IFERROR(ADDRESS(MATCH(E22, $B$13:$B$24, 0) + 12, COLUMN(B10)), "Not Found")</f>
        <v>$B$22</v>
      </c>
      <c r="G22" s="6"/>
      <c r="H22" s="5"/>
      <c r="I22" s="7"/>
    </row>
    <row r="23" customFormat="false" ht="15.75" hidden="false" customHeight="false" outlineLevel="0" collapsed="false">
      <c r="A23" s="1" t="n">
        <v>15</v>
      </c>
      <c r="B23" s="8" t="s">
        <v>36</v>
      </c>
      <c r="E23" s="8" t="s">
        <v>36</v>
      </c>
      <c r="F23" s="1" t="str">
        <f aca="false">IFERROR(ADDRESS(MATCH(E23, $B$13:$B$24, 0) + 12, COLUMN(B11)), "Not Found")</f>
        <v>$B$23</v>
      </c>
      <c r="G23" s="6"/>
      <c r="H23" s="5"/>
      <c r="I23" s="7"/>
    </row>
    <row r="24" customFormat="false" ht="15.75" hidden="false" customHeight="false" outlineLevel="0" collapsed="false">
      <c r="A24" s="1" t="n">
        <v>16</v>
      </c>
      <c r="B24" s="8" t="s">
        <v>37</v>
      </c>
      <c r="E24" s="8" t="s">
        <v>37</v>
      </c>
      <c r="F24" s="1" t="str">
        <f aca="false">IFERROR(ADDRESS(MATCH(E24, $B$13:$B$24, 0) + 12, COLUMN(B12)), "Not Found")</f>
        <v>$B$24</v>
      </c>
      <c r="G24" s="6"/>
      <c r="H24" s="5"/>
      <c r="I24" s="7"/>
    </row>
    <row r="25" customFormat="false" ht="22.75" hidden="false" customHeight="true" outlineLevel="0" collapsed="false">
      <c r="A25" s="1" t="n">
        <v>17</v>
      </c>
      <c r="B25" s="8" t="s">
        <v>38</v>
      </c>
      <c r="E25" s="8"/>
    </row>
    <row r="26" customFormat="false" ht="15.75" hidden="false" customHeight="false" outlineLevel="0" collapsed="false">
      <c r="A26" s="1" t="n">
        <v>18</v>
      </c>
      <c r="B26" s="8" t="s">
        <v>39</v>
      </c>
      <c r="E26" s="8"/>
    </row>
    <row r="27" customFormat="false" ht="15.75" hidden="false" customHeight="false" outlineLevel="0" collapsed="false">
      <c r="A27" s="1" t="n">
        <v>19</v>
      </c>
      <c r="B27" s="8" t="s">
        <v>40</v>
      </c>
      <c r="E27" s="8"/>
    </row>
    <row r="28" customFormat="false" ht="15.75" hidden="false" customHeight="false" outlineLevel="0" collapsed="false">
      <c r="A28" s="1" t="n">
        <v>20</v>
      </c>
      <c r="B28" s="8" t="s">
        <v>41</v>
      </c>
      <c r="E28" s="8"/>
    </row>
    <row r="29" customFormat="false" ht="15.75" hidden="false" customHeight="false" outlineLevel="0" collapsed="false">
      <c r="A29" s="1" t="n">
        <v>21</v>
      </c>
      <c r="B29" s="8" t="s">
        <v>42</v>
      </c>
      <c r="E29" s="8"/>
    </row>
    <row r="30" customFormat="false" ht="15.75" hidden="false" customHeight="false" outlineLevel="0" collapsed="false">
      <c r="A30" s="1" t="n">
        <v>22</v>
      </c>
      <c r="B30" s="8" t="s">
        <v>43</v>
      </c>
      <c r="E30" s="8"/>
    </row>
    <row r="31" customFormat="false" ht="15.75" hidden="false" customHeight="false" outlineLevel="0" collapsed="false">
      <c r="A31" s="1" t="n">
        <v>23</v>
      </c>
      <c r="B31" s="9" t="s">
        <v>44</v>
      </c>
      <c r="E31" s="9"/>
    </row>
    <row r="32" customFormat="false" ht="15.75" hidden="false" customHeight="false" outlineLevel="0" collapsed="false">
      <c r="A32" s="1" t="n">
        <v>24</v>
      </c>
      <c r="B32" s="8" t="s">
        <v>45</v>
      </c>
      <c r="E32" s="8"/>
    </row>
    <row r="33" customFormat="false" ht="15.75" hidden="false" customHeight="false" outlineLevel="0" collapsed="false">
      <c r="A33" s="1" t="n">
        <v>25</v>
      </c>
      <c r="B33" s="8" t="s">
        <v>46</v>
      </c>
      <c r="E33" s="8"/>
    </row>
    <row r="34" customFormat="false" ht="20.4" hidden="false" customHeight="true" outlineLevel="0" collapsed="false">
      <c r="A34" s="1" t="n">
        <v>26</v>
      </c>
      <c r="B34" s="8" t="s">
        <v>47</v>
      </c>
      <c r="E34" s="8"/>
    </row>
    <row r="35" customFormat="false" ht="15.75" hidden="false" customHeight="false" outlineLevel="0" collapsed="false">
      <c r="A35" s="1" t="n">
        <v>27</v>
      </c>
      <c r="B35" s="8" t="s">
        <v>48</v>
      </c>
      <c r="E35" s="8"/>
    </row>
    <row r="36" customFormat="false" ht="15.75" hidden="false" customHeight="false" outlineLevel="0" collapsed="false">
      <c r="A36" s="1" t="n">
        <v>28</v>
      </c>
      <c r="B36" s="8" t="s">
        <v>49</v>
      </c>
      <c r="E36" s="8"/>
    </row>
    <row r="37" customFormat="false" ht="15.75" hidden="false" customHeight="false" outlineLevel="0" collapsed="false">
      <c r="A37" s="1" t="n">
        <v>29</v>
      </c>
      <c r="B37" s="8" t="s">
        <v>50</v>
      </c>
      <c r="E37" s="8"/>
    </row>
    <row r="38" customFormat="false" ht="15.75" hidden="false" customHeight="false" outlineLevel="0" collapsed="false">
      <c r="A38" s="1" t="n">
        <v>30</v>
      </c>
      <c r="B38" s="8" t="s">
        <v>51</v>
      </c>
      <c r="E38" s="8"/>
    </row>
    <row r="39" customFormat="false" ht="15.75" hidden="false" customHeight="false" outlineLevel="0" collapsed="false">
      <c r="A39" s="1" t="n">
        <v>31</v>
      </c>
      <c r="B39" s="8" t="s">
        <v>52</v>
      </c>
      <c r="E39" s="8"/>
    </row>
    <row r="40" customFormat="false" ht="15.75" hidden="false" customHeight="false" outlineLevel="0" collapsed="false">
      <c r="A40" s="1" t="n">
        <v>32</v>
      </c>
      <c r="B40" s="8" t="s">
        <v>53</v>
      </c>
      <c r="E40" s="8"/>
    </row>
    <row r="41" customFormat="false" ht="15.75" hidden="false" customHeight="false" outlineLevel="0" collapsed="false">
      <c r="A41" s="1" t="n">
        <v>33</v>
      </c>
      <c r="B41" s="8" t="s">
        <v>54</v>
      </c>
      <c r="E41" s="8"/>
    </row>
    <row r="42" customFormat="false" ht="15.75" hidden="false" customHeight="false" outlineLevel="0" collapsed="false">
      <c r="A42" s="1" t="n">
        <v>34</v>
      </c>
      <c r="B42" s="8" t="s">
        <v>55</v>
      </c>
      <c r="E42" s="8"/>
    </row>
    <row r="43" customFormat="false" ht="15.75" hidden="false" customHeight="false" outlineLevel="0" collapsed="false">
      <c r="A43" s="1" t="n">
        <v>35</v>
      </c>
      <c r="B43" s="8" t="s">
        <v>56</v>
      </c>
      <c r="E43" s="8"/>
    </row>
    <row r="44" customFormat="false" ht="15.75" hidden="false" customHeight="false" outlineLevel="0" collapsed="false">
      <c r="A44" s="1" t="n">
        <v>36</v>
      </c>
      <c r="B44" s="8" t="s">
        <v>57</v>
      </c>
      <c r="E44" s="8"/>
    </row>
    <row r="45" customFormat="false" ht="15.75" hidden="false" customHeight="false" outlineLevel="0" collapsed="false">
      <c r="A45" s="1" t="n">
        <v>37</v>
      </c>
      <c r="B45" s="8" t="s">
        <v>58</v>
      </c>
      <c r="E45" s="8"/>
    </row>
    <row r="46" customFormat="false" ht="15.75" hidden="false" customHeight="false" outlineLevel="0" collapsed="false">
      <c r="A46" s="1" t="n">
        <v>38</v>
      </c>
      <c r="B46" s="8" t="s">
        <v>59</v>
      </c>
      <c r="E46" s="8"/>
    </row>
    <row r="47" customFormat="false" ht="15.75" hidden="false" customHeight="false" outlineLevel="0" collapsed="false">
      <c r="A47" s="1" t="n">
        <v>39</v>
      </c>
      <c r="B47" s="8" t="s">
        <v>60</v>
      </c>
      <c r="E47" s="8"/>
    </row>
    <row r="48" customFormat="false" ht="15.75" hidden="false" customHeight="false" outlineLevel="0" collapsed="false">
      <c r="A48" s="1" t="n">
        <v>40</v>
      </c>
      <c r="B48" s="9" t="s">
        <v>61</v>
      </c>
      <c r="E48" s="9"/>
    </row>
    <row r="49" customFormat="false" ht="15.75" hidden="false" customHeight="false" outlineLevel="0" collapsed="false">
      <c r="A49" s="1" t="n">
        <v>41</v>
      </c>
      <c r="B49" s="8" t="s">
        <v>62</v>
      </c>
      <c r="E49" s="8"/>
    </row>
    <row r="50" customFormat="false" ht="15.75" hidden="false" customHeight="false" outlineLevel="0" collapsed="false">
      <c r="A50" s="1" t="n">
        <v>42</v>
      </c>
      <c r="B50" s="8" t="s">
        <v>63</v>
      </c>
      <c r="E50" s="8"/>
    </row>
    <row r="51" customFormat="false" ht="15.75" hidden="false" customHeight="false" outlineLevel="0" collapsed="false">
      <c r="A51" s="1" t="n">
        <v>43</v>
      </c>
      <c r="B51" s="8" t="s">
        <v>64</v>
      </c>
      <c r="E51" s="8"/>
    </row>
    <row r="52" customFormat="false" ht="15.75" hidden="false" customHeight="false" outlineLevel="0" collapsed="false">
      <c r="A52" s="1" t="n">
        <v>44</v>
      </c>
      <c r="B52" s="9" t="s">
        <v>65</v>
      </c>
      <c r="E52" s="9"/>
    </row>
    <row r="53" customFormat="false" ht="15.75" hidden="false" customHeight="false" outlineLevel="0" collapsed="false">
      <c r="A53" s="1" t="n">
        <v>45</v>
      </c>
      <c r="B53" s="9" t="s">
        <v>66</v>
      </c>
      <c r="E53" s="9"/>
    </row>
    <row r="54" customFormat="false" ht="15.75" hidden="false" customHeight="false" outlineLevel="0" collapsed="false">
      <c r="A54" s="1" t="n">
        <v>46</v>
      </c>
      <c r="B54" s="8" t="s">
        <v>67</v>
      </c>
      <c r="E54" s="8"/>
    </row>
    <row r="55" customFormat="false" ht="15.75" hidden="false" customHeight="false" outlineLevel="0" collapsed="false">
      <c r="A55" s="1" t="n">
        <v>47</v>
      </c>
      <c r="B55" s="8" t="s">
        <v>68</v>
      </c>
      <c r="E55" s="8"/>
    </row>
    <row r="56" customFormat="false" ht="15.75" hidden="false" customHeight="false" outlineLevel="0" collapsed="false">
      <c r="A56" s="1" t="n">
        <v>48</v>
      </c>
      <c r="B56" s="8" t="s">
        <v>69</v>
      </c>
      <c r="E56" s="8"/>
    </row>
    <row r="57" customFormat="false" ht="15.75" hidden="false" customHeight="false" outlineLevel="0" collapsed="false">
      <c r="A57" s="1" t="n">
        <v>49</v>
      </c>
      <c r="B57" s="9" t="s">
        <v>70</v>
      </c>
      <c r="E57" s="9"/>
    </row>
    <row r="58" customFormat="false" ht="15.75" hidden="false" customHeight="false" outlineLevel="0" collapsed="false">
      <c r="A58" s="1" t="n">
        <v>50</v>
      </c>
      <c r="B58" s="8" t="s">
        <v>71</v>
      </c>
      <c r="E58" s="8"/>
    </row>
    <row r="59" customFormat="false" ht="15.75" hidden="false" customHeight="false" outlineLevel="0" collapsed="false">
      <c r="A59" s="1" t="n">
        <v>51</v>
      </c>
      <c r="B59" s="9" t="s">
        <v>72</v>
      </c>
      <c r="E59" s="9"/>
    </row>
    <row r="60" customFormat="false" ht="15.75" hidden="false" customHeight="false" outlineLevel="0" collapsed="false">
      <c r="A60" s="1" t="n">
        <v>52</v>
      </c>
      <c r="B60" s="9" t="s">
        <v>73</v>
      </c>
      <c r="C60" s="10"/>
      <c r="E60" s="9"/>
    </row>
    <row r="61" customFormat="false" ht="15.75" hidden="false" customHeight="false" outlineLevel="0" collapsed="false">
      <c r="A61" s="1" t="n">
        <v>53</v>
      </c>
      <c r="B61" s="9" t="s">
        <v>74</v>
      </c>
      <c r="C61" s="5"/>
      <c r="E61" s="9"/>
    </row>
    <row r="62" customFormat="false" ht="15.75" hidden="false" customHeight="false" outlineLevel="0" collapsed="false">
      <c r="A62" s="1" t="n">
        <v>54</v>
      </c>
      <c r="B62" s="8" t="s">
        <v>75</v>
      </c>
      <c r="C62" s="5"/>
      <c r="E62" s="8"/>
    </row>
    <row r="63" customFormat="false" ht="15.75" hidden="false" customHeight="false" outlineLevel="0" collapsed="false">
      <c r="A63" s="1" t="n">
        <v>55</v>
      </c>
      <c r="B63" s="9" t="s">
        <v>76</v>
      </c>
      <c r="E63" s="9"/>
    </row>
    <row r="64" customFormat="false" ht="15.75" hidden="false" customHeight="false" outlineLevel="0" collapsed="false">
      <c r="A64" s="1" t="n">
        <v>56</v>
      </c>
      <c r="B64" s="8" t="s">
        <v>77</v>
      </c>
      <c r="E64" s="8"/>
    </row>
    <row r="65" customFormat="false" ht="15.75" hidden="false" customHeight="false" outlineLevel="0" collapsed="false">
      <c r="A65" s="1" t="n">
        <v>57</v>
      </c>
      <c r="B65" s="8" t="s">
        <v>78</v>
      </c>
      <c r="E65" s="8"/>
    </row>
    <row r="66" customFormat="false" ht="15.75" hidden="false" customHeight="false" outlineLevel="0" collapsed="false">
      <c r="A66" s="1" t="n">
        <v>58</v>
      </c>
      <c r="B66" s="8" t="s">
        <v>79</v>
      </c>
      <c r="E66" s="8"/>
    </row>
    <row r="67" customFormat="false" ht="15.75" hidden="false" customHeight="false" outlineLevel="0" collapsed="false">
      <c r="A67" s="1" t="n">
        <v>59</v>
      </c>
      <c r="B67" s="8" t="s">
        <v>80</v>
      </c>
      <c r="E67" s="8"/>
    </row>
    <row r="68" customFormat="false" ht="15.75" hidden="false" customHeight="false" outlineLevel="0" collapsed="false">
      <c r="A68" s="1" t="n">
        <v>60</v>
      </c>
      <c r="B68" s="8" t="s">
        <v>81</v>
      </c>
      <c r="E68" s="8"/>
    </row>
    <row r="69" customFormat="false" ht="15.75" hidden="false" customHeight="false" outlineLevel="0" collapsed="false">
      <c r="A69" s="1" t="n">
        <v>61</v>
      </c>
      <c r="B69" s="8" t="s">
        <v>82</v>
      </c>
      <c r="E69" s="8"/>
    </row>
    <row r="70" customFormat="false" ht="15.75" hidden="false" customHeight="false" outlineLevel="0" collapsed="false">
      <c r="A70" s="1" t="n">
        <v>62</v>
      </c>
      <c r="B70" s="8" t="s">
        <v>83</v>
      </c>
      <c r="E70" s="8"/>
    </row>
    <row r="71" customFormat="false" ht="15.75" hidden="false" customHeight="false" outlineLevel="0" collapsed="false">
      <c r="A71" s="1" t="n">
        <v>63</v>
      </c>
      <c r="B71" s="8" t="s">
        <v>84</v>
      </c>
      <c r="E71" s="8"/>
    </row>
    <row r="72" customFormat="false" ht="15.75" hidden="false" customHeight="false" outlineLevel="0" collapsed="false">
      <c r="A72" s="1" t="n">
        <v>64</v>
      </c>
      <c r="B72" s="8" t="s">
        <v>85</v>
      </c>
      <c r="E72" s="8"/>
    </row>
    <row r="73" customFormat="false" ht="15.75" hidden="false" customHeight="false" outlineLevel="0" collapsed="false">
      <c r="A73" s="1" t="n">
        <v>65</v>
      </c>
      <c r="B73" s="8" t="s">
        <v>86</v>
      </c>
      <c r="E73" s="8"/>
    </row>
    <row r="74" customFormat="false" ht="15.75" hidden="false" customHeight="false" outlineLevel="0" collapsed="false">
      <c r="A74" s="1" t="n">
        <v>66</v>
      </c>
      <c r="B74" s="9" t="s">
        <v>87</v>
      </c>
      <c r="E74" s="9"/>
    </row>
    <row r="75" customFormat="false" ht="15.75" hidden="false" customHeight="false" outlineLevel="0" collapsed="false">
      <c r="A75" s="1" t="n">
        <v>67</v>
      </c>
      <c r="B75" s="8" t="s">
        <v>88</v>
      </c>
      <c r="E75" s="8"/>
    </row>
    <row r="76" customFormat="false" ht="15.75" hidden="false" customHeight="false" outlineLevel="0" collapsed="false">
      <c r="A76" s="1" t="n">
        <v>68</v>
      </c>
      <c r="B76" s="8" t="s">
        <v>89</v>
      </c>
      <c r="E76" s="8"/>
    </row>
    <row r="77" customFormat="false" ht="15.75" hidden="false" customHeight="false" outlineLevel="0" collapsed="false">
      <c r="A77" s="1" t="n">
        <v>69</v>
      </c>
      <c r="B77" s="9" t="s">
        <v>90</v>
      </c>
      <c r="E77" s="9"/>
    </row>
    <row r="78" customFormat="false" ht="15.75" hidden="false" customHeight="false" outlineLevel="0" collapsed="false">
      <c r="A78" s="1" t="n">
        <v>70</v>
      </c>
      <c r="B78" s="8" t="s">
        <v>91</v>
      </c>
      <c r="E78" s="8"/>
    </row>
    <row r="79" customFormat="false" ht="15.75" hidden="false" customHeight="false" outlineLevel="0" collapsed="false">
      <c r="A79" s="1" t="n">
        <v>71</v>
      </c>
      <c r="B79" s="8" t="s">
        <v>92</v>
      </c>
      <c r="E79" s="8"/>
    </row>
    <row r="80" customFormat="false" ht="15.75" hidden="false" customHeight="false" outlineLevel="0" collapsed="false">
      <c r="A80" s="1" t="n">
        <v>72</v>
      </c>
      <c r="B80" s="8" t="s">
        <v>93</v>
      </c>
      <c r="E80" s="8"/>
    </row>
    <row r="81" customFormat="false" ht="15.75" hidden="false" customHeight="false" outlineLevel="0" collapsed="false">
      <c r="A81" s="1" t="n">
        <v>73</v>
      </c>
      <c r="B81" s="8" t="s">
        <v>94</v>
      </c>
      <c r="E81" s="8"/>
    </row>
    <row r="82" customFormat="false" ht="15.75" hidden="false" customHeight="false" outlineLevel="0" collapsed="false">
      <c r="A82" s="1" t="n">
        <v>74</v>
      </c>
      <c r="B82" s="8" t="s">
        <v>95</v>
      </c>
      <c r="E82" s="8"/>
    </row>
    <row r="83" customFormat="false" ht="15.75" hidden="false" customHeight="false" outlineLevel="0" collapsed="false">
      <c r="A83" s="1" t="n">
        <v>75</v>
      </c>
      <c r="B83" s="8" t="s">
        <v>96</v>
      </c>
      <c r="E83" s="8"/>
    </row>
    <row r="84" customFormat="false" ht="15.75" hidden="false" customHeight="false" outlineLevel="0" collapsed="false">
      <c r="A84" s="1" t="n">
        <v>76</v>
      </c>
      <c r="B84" s="8" t="s">
        <v>97</v>
      </c>
      <c r="E84" s="8"/>
    </row>
    <row r="85" customFormat="false" ht="15.75" hidden="false" customHeight="false" outlineLevel="0" collapsed="false">
      <c r="A85" s="1" t="n">
        <v>77</v>
      </c>
      <c r="B85" s="8" t="s">
        <v>98</v>
      </c>
      <c r="E85" s="8"/>
    </row>
    <row r="86" customFormat="false" ht="15.75" hidden="false" customHeight="false" outlineLevel="0" collapsed="false">
      <c r="A86" s="1" t="n">
        <v>78</v>
      </c>
      <c r="B86" s="8" t="s">
        <v>99</v>
      </c>
      <c r="E86" s="8"/>
    </row>
    <row r="87" customFormat="false" ht="15.75" hidden="false" customHeight="false" outlineLevel="0" collapsed="false">
      <c r="A87" s="1" t="n">
        <v>79</v>
      </c>
      <c r="B87" s="8" t="s">
        <v>100</v>
      </c>
      <c r="E87" s="8"/>
    </row>
    <row r="88" customFormat="false" ht="15.75" hidden="false" customHeight="false" outlineLevel="0" collapsed="false">
      <c r="A88" s="1" t="n">
        <v>80</v>
      </c>
      <c r="B88" s="8" t="s">
        <v>101</v>
      </c>
      <c r="E88" s="8"/>
    </row>
    <row r="89" customFormat="false" ht="15.75" hidden="false" customHeight="false" outlineLevel="0" collapsed="false">
      <c r="A89" s="1" t="n">
        <v>81</v>
      </c>
      <c r="B89" s="8" t="s">
        <v>102</v>
      </c>
      <c r="E89" s="8"/>
    </row>
    <row r="90" customFormat="false" ht="15.75" hidden="false" customHeight="false" outlineLevel="0" collapsed="false">
      <c r="A90" s="1" t="n">
        <v>82</v>
      </c>
      <c r="B90" s="8" t="s">
        <v>103</v>
      </c>
      <c r="E90" s="8"/>
    </row>
    <row r="91" customFormat="false" ht="15.75" hidden="false" customHeight="false" outlineLevel="0" collapsed="false">
      <c r="A91" s="1" t="n">
        <v>83</v>
      </c>
      <c r="B91" s="8" t="s">
        <v>104</v>
      </c>
      <c r="E91" s="8"/>
    </row>
    <row r="92" customFormat="false" ht="15.75" hidden="false" customHeight="false" outlineLevel="0" collapsed="false">
      <c r="A92" s="1" t="n">
        <v>84</v>
      </c>
      <c r="B92" s="8" t="s">
        <v>105</v>
      </c>
      <c r="E92" s="8"/>
    </row>
    <row r="93" customFormat="false" ht="15.75" hidden="false" customHeight="false" outlineLevel="0" collapsed="false">
      <c r="A93" s="1" t="n">
        <v>85</v>
      </c>
      <c r="B93" s="8" t="s">
        <v>106</v>
      </c>
      <c r="E93" s="8"/>
    </row>
    <row r="94" customFormat="false" ht="15.75" hidden="false" customHeight="false" outlineLevel="0" collapsed="false">
      <c r="A94" s="1" t="n">
        <v>86</v>
      </c>
      <c r="B94" s="8" t="s">
        <v>107</v>
      </c>
      <c r="E94" s="8"/>
    </row>
    <row r="95" customFormat="false" ht="15.75" hidden="false" customHeight="false" outlineLevel="0" collapsed="false">
      <c r="A95" s="1" t="n">
        <v>87</v>
      </c>
      <c r="B95" s="8" t="s">
        <v>108</v>
      </c>
      <c r="E95" s="8"/>
    </row>
    <row r="96" customFormat="false" ht="15.75" hidden="false" customHeight="false" outlineLevel="0" collapsed="false">
      <c r="A96" s="1" t="n">
        <v>88</v>
      </c>
      <c r="B96" s="8" t="s">
        <v>109</v>
      </c>
      <c r="E96" s="8"/>
    </row>
    <row r="97" customFormat="false" ht="15.75" hidden="false" customHeight="false" outlineLevel="0" collapsed="false">
      <c r="A97" s="1" t="n">
        <v>89</v>
      </c>
      <c r="B97" s="8" t="s">
        <v>110</v>
      </c>
      <c r="E97" s="8"/>
    </row>
    <row r="98" customFormat="false" ht="15.75" hidden="false" customHeight="false" outlineLevel="0" collapsed="false">
      <c r="A98" s="1" t="n">
        <v>90</v>
      </c>
      <c r="B98" s="8" t="s">
        <v>111</v>
      </c>
      <c r="E98" s="8"/>
    </row>
    <row r="99" customFormat="false" ht="15.75" hidden="false" customHeight="false" outlineLevel="0" collapsed="false">
      <c r="A99" s="1" t="n">
        <v>91</v>
      </c>
      <c r="B99" s="8" t="s">
        <v>112</v>
      </c>
      <c r="E99" s="8"/>
    </row>
    <row r="100" customFormat="false" ht="15.75" hidden="false" customHeight="false" outlineLevel="0" collapsed="false">
      <c r="A100" s="1" t="n">
        <v>92</v>
      </c>
      <c r="B100" s="8" t="s">
        <v>113</v>
      </c>
      <c r="E100" s="8"/>
    </row>
    <row r="101" customFormat="false" ht="15.75" hidden="false" customHeight="false" outlineLevel="0" collapsed="false">
      <c r="A101" s="1" t="n">
        <v>93</v>
      </c>
      <c r="B101" s="9" t="s">
        <v>114</v>
      </c>
      <c r="E101" s="9"/>
    </row>
    <row r="102" customFormat="false" ht="15.75" hidden="false" customHeight="false" outlineLevel="0" collapsed="false">
      <c r="A102" s="1" t="n">
        <v>94</v>
      </c>
      <c r="B102" s="8" t="s">
        <v>115</v>
      </c>
      <c r="E102" s="8"/>
    </row>
    <row r="103" customFormat="false" ht="15.75" hidden="false" customHeight="false" outlineLevel="0" collapsed="false">
      <c r="A103" s="1" t="n">
        <v>95</v>
      </c>
      <c r="B103" s="8" t="s">
        <v>116</v>
      </c>
      <c r="E103" s="8"/>
    </row>
    <row r="104" customFormat="false" ht="15.75" hidden="false" customHeight="false" outlineLevel="0" collapsed="false">
      <c r="A104" s="1" t="n">
        <v>96</v>
      </c>
      <c r="B104" s="8" t="s">
        <v>117</v>
      </c>
      <c r="E104" s="8"/>
    </row>
    <row r="105" customFormat="false" ht="15.75" hidden="false" customHeight="false" outlineLevel="0" collapsed="false">
      <c r="A105" s="1" t="n">
        <v>97</v>
      </c>
      <c r="B105" s="8" t="s">
        <v>118</v>
      </c>
      <c r="E105" s="8"/>
    </row>
    <row r="106" customFormat="false" ht="15.75" hidden="false" customHeight="false" outlineLevel="0" collapsed="false">
      <c r="A106" s="1" t="n">
        <v>98</v>
      </c>
      <c r="B106" s="8" t="s">
        <v>119</v>
      </c>
      <c r="E106" s="8"/>
    </row>
    <row r="107" customFormat="false" ht="15.75" hidden="false" customHeight="false" outlineLevel="0" collapsed="false">
      <c r="A107" s="1" t="n">
        <v>99</v>
      </c>
      <c r="B107" s="8" t="s">
        <v>120</v>
      </c>
      <c r="E107" s="8"/>
    </row>
    <row r="108" customFormat="false" ht="15.75" hidden="false" customHeight="false" outlineLevel="0" collapsed="false">
      <c r="A108" s="1" t="n">
        <v>100</v>
      </c>
      <c r="B108" s="8" t="s">
        <v>121</v>
      </c>
      <c r="E108" s="8"/>
    </row>
    <row r="109" customFormat="false" ht="15.75" hidden="false" customHeight="false" outlineLevel="0" collapsed="false">
      <c r="A109" s="1" t="n">
        <v>101</v>
      </c>
      <c r="B109" s="8" t="s">
        <v>122</v>
      </c>
      <c r="E109" s="8"/>
    </row>
    <row r="110" customFormat="false" ht="15.75" hidden="false" customHeight="false" outlineLevel="0" collapsed="false">
      <c r="A110" s="1" t="n">
        <v>102</v>
      </c>
      <c r="B110" s="8" t="s">
        <v>123</v>
      </c>
      <c r="E110" s="8"/>
    </row>
    <row r="111" customFormat="false" ht="15.75" hidden="false" customHeight="false" outlineLevel="0" collapsed="false">
      <c r="A111" s="1" t="n">
        <v>103</v>
      </c>
      <c r="B111" s="8" t="s">
        <v>124</v>
      </c>
      <c r="E111" s="8"/>
    </row>
    <row r="112" customFormat="false" ht="15.75" hidden="false" customHeight="false" outlineLevel="0" collapsed="false">
      <c r="A112" s="1" t="n">
        <v>104</v>
      </c>
      <c r="B112" s="8" t="s">
        <v>125</v>
      </c>
      <c r="E112" s="8"/>
    </row>
    <row r="113" customFormat="false" ht="15.75" hidden="false" customHeight="false" outlineLevel="0" collapsed="false">
      <c r="A113" s="1" t="n">
        <v>105</v>
      </c>
      <c r="B113" s="8" t="s">
        <v>126</v>
      </c>
      <c r="E113" s="8"/>
    </row>
    <row r="114" customFormat="false" ht="15.75" hidden="false" customHeight="false" outlineLevel="0" collapsed="false">
      <c r="A114" s="1" t="n">
        <v>106</v>
      </c>
      <c r="B114" s="8" t="s">
        <v>127</v>
      </c>
      <c r="E114" s="8"/>
    </row>
    <row r="115" customFormat="false" ht="15.75" hidden="false" customHeight="false" outlineLevel="0" collapsed="false">
      <c r="A115" s="1" t="n">
        <v>107</v>
      </c>
      <c r="B115" s="9" t="s">
        <v>128</v>
      </c>
      <c r="E115" s="9"/>
    </row>
    <row r="116" customFormat="false" ht="15.75" hidden="false" customHeight="false" outlineLevel="0" collapsed="false">
      <c r="A116" s="1" t="n">
        <v>108</v>
      </c>
      <c r="B116" s="9" t="s">
        <v>129</v>
      </c>
      <c r="E116" s="9"/>
    </row>
    <row r="117" customFormat="false" ht="15.75" hidden="false" customHeight="false" outlineLevel="0" collapsed="false">
      <c r="A117" s="1" t="n">
        <v>109</v>
      </c>
      <c r="B117" s="8" t="s">
        <v>130</v>
      </c>
      <c r="E117" s="8"/>
    </row>
    <row r="118" customFormat="false" ht="15.75" hidden="false" customHeight="false" outlineLevel="0" collapsed="false">
      <c r="A118" s="1" t="n">
        <v>110</v>
      </c>
      <c r="B118" s="8" t="s">
        <v>131</v>
      </c>
      <c r="E118" s="8"/>
    </row>
    <row r="119" customFormat="false" ht="15.75" hidden="false" customHeight="false" outlineLevel="0" collapsed="false">
      <c r="A119" s="1" t="n">
        <v>111</v>
      </c>
      <c r="B119" s="8" t="s">
        <v>132</v>
      </c>
      <c r="E119" s="8"/>
    </row>
    <row r="120" customFormat="false" ht="15.75" hidden="false" customHeight="false" outlineLevel="0" collapsed="false">
      <c r="A120" s="1" t="n">
        <v>112</v>
      </c>
      <c r="B120" s="9" t="s">
        <v>133</v>
      </c>
      <c r="E120" s="9"/>
    </row>
    <row r="121" customFormat="false" ht="15.75" hidden="false" customHeight="false" outlineLevel="0" collapsed="false">
      <c r="A121" s="1" t="n">
        <v>113</v>
      </c>
      <c r="B121" s="8" t="s">
        <v>134</v>
      </c>
      <c r="E121" s="8"/>
    </row>
    <row r="122" customFormat="false" ht="15.75" hidden="false" customHeight="false" outlineLevel="0" collapsed="false">
      <c r="A122" s="1" t="n">
        <v>114</v>
      </c>
      <c r="B122" s="8" t="s">
        <v>135</v>
      </c>
      <c r="E122" s="8"/>
    </row>
    <row r="123" customFormat="false" ht="15.75" hidden="false" customHeight="false" outlineLevel="0" collapsed="false">
      <c r="A123" s="1" t="n">
        <v>115</v>
      </c>
      <c r="B123" s="8" t="s">
        <v>136</v>
      </c>
      <c r="E123" s="8"/>
    </row>
    <row r="124" customFormat="false" ht="15.75" hidden="false" customHeight="false" outlineLevel="0" collapsed="false">
      <c r="A124" s="1" t="n">
        <v>116</v>
      </c>
      <c r="B124" s="9" t="s">
        <v>137</v>
      </c>
      <c r="E124" s="9"/>
    </row>
    <row r="125" customFormat="false" ht="15.75" hidden="false" customHeight="false" outlineLevel="0" collapsed="false">
      <c r="A125" s="1" t="n">
        <v>117</v>
      </c>
      <c r="B125" s="8" t="s">
        <v>138</v>
      </c>
      <c r="E125" s="8"/>
    </row>
    <row r="126" customFormat="false" ht="15.75" hidden="false" customHeight="false" outlineLevel="0" collapsed="false">
      <c r="A126" s="1" t="n">
        <v>118</v>
      </c>
      <c r="B126" s="8" t="s">
        <v>139</v>
      </c>
      <c r="E126" s="8"/>
    </row>
    <row r="127" customFormat="false" ht="15.75" hidden="false" customHeight="false" outlineLevel="0" collapsed="false">
      <c r="A127" s="1" t="n">
        <v>119</v>
      </c>
      <c r="B127" s="8" t="s">
        <v>140</v>
      </c>
      <c r="E127" s="8"/>
    </row>
    <row r="128" customFormat="false" ht="15.75" hidden="false" customHeight="false" outlineLevel="0" collapsed="false">
      <c r="A128" s="1" t="n">
        <v>120</v>
      </c>
      <c r="B128" s="8" t="s">
        <v>141</v>
      </c>
      <c r="E128" s="8"/>
    </row>
    <row r="129" customFormat="false" ht="15.75" hidden="false" customHeight="false" outlineLevel="0" collapsed="false">
      <c r="A129" s="1" t="n">
        <v>121</v>
      </c>
      <c r="B129" s="8" t="s">
        <v>142</v>
      </c>
      <c r="E129" s="8"/>
    </row>
    <row r="130" customFormat="false" ht="15.75" hidden="false" customHeight="false" outlineLevel="0" collapsed="false">
      <c r="A130" s="1" t="n">
        <v>122</v>
      </c>
      <c r="B130" s="8" t="s">
        <v>143</v>
      </c>
      <c r="E130" s="8"/>
    </row>
    <row r="131" customFormat="false" ht="15.75" hidden="false" customHeight="false" outlineLevel="0" collapsed="false">
      <c r="A131" s="1" t="n">
        <v>123</v>
      </c>
      <c r="B131" s="8" t="s">
        <v>144</v>
      </c>
      <c r="E131" s="8"/>
    </row>
    <row r="132" customFormat="false" ht="15.75" hidden="false" customHeight="false" outlineLevel="0" collapsed="false">
      <c r="A132" s="1" t="n">
        <v>124</v>
      </c>
      <c r="B132" s="8" t="s">
        <v>145</v>
      </c>
      <c r="E132" s="8"/>
    </row>
    <row r="133" customFormat="false" ht="15.75" hidden="false" customHeight="false" outlineLevel="0" collapsed="false">
      <c r="A133" s="1" t="n">
        <v>125</v>
      </c>
      <c r="B133" s="8" t="s">
        <v>146</v>
      </c>
      <c r="E133" s="8"/>
    </row>
    <row r="134" customFormat="false" ht="15.75" hidden="false" customHeight="false" outlineLevel="0" collapsed="false">
      <c r="A134" s="1" t="n">
        <v>126</v>
      </c>
      <c r="B134" s="8" t="s">
        <v>147</v>
      </c>
      <c r="E134" s="8"/>
    </row>
    <row r="135" customFormat="false" ht="15.75" hidden="false" customHeight="false" outlineLevel="0" collapsed="false">
      <c r="A135" s="1" t="n">
        <v>127</v>
      </c>
      <c r="B135" s="8" t="s">
        <v>148</v>
      </c>
      <c r="E135" s="8"/>
    </row>
    <row r="136" customFormat="false" ht="15.75" hidden="false" customHeight="false" outlineLevel="0" collapsed="false">
      <c r="A136" s="1" t="n">
        <v>128</v>
      </c>
      <c r="B136" s="8" t="s">
        <v>149</v>
      </c>
      <c r="E136" s="8"/>
    </row>
    <row r="137" customFormat="false" ht="15.75" hidden="false" customHeight="false" outlineLevel="0" collapsed="false">
      <c r="A137" s="1" t="n">
        <v>129</v>
      </c>
      <c r="B137" s="8" t="s">
        <v>150</v>
      </c>
      <c r="E137" s="8"/>
    </row>
    <row r="138" customFormat="false" ht="15.75" hidden="false" customHeight="false" outlineLevel="0" collapsed="false">
      <c r="A138" s="1" t="n">
        <v>130</v>
      </c>
      <c r="B138" s="8" t="s">
        <v>151</v>
      </c>
      <c r="E138" s="8"/>
    </row>
    <row r="139" customFormat="false" ht="15.75" hidden="false" customHeight="false" outlineLevel="0" collapsed="false">
      <c r="A139" s="1" t="n">
        <v>131</v>
      </c>
      <c r="B139" s="8" t="s">
        <v>152</v>
      </c>
      <c r="E139" s="8"/>
    </row>
    <row r="140" customFormat="false" ht="15.75" hidden="false" customHeight="false" outlineLevel="0" collapsed="false">
      <c r="A140" s="1" t="n">
        <v>132</v>
      </c>
      <c r="B140" s="11" t="s">
        <v>153</v>
      </c>
      <c r="E140" s="11"/>
    </row>
    <row r="141" customFormat="false" ht="15.75" hidden="false" customHeight="false" outlineLevel="0" collapsed="false">
      <c r="A141" s="1" t="n">
        <v>133</v>
      </c>
      <c r="B141" s="11" t="s">
        <v>154</v>
      </c>
      <c r="E141" s="11"/>
    </row>
    <row r="142" customFormat="false" ht="15.75" hidden="false" customHeight="false" outlineLevel="0" collapsed="false">
      <c r="A142" s="1" t="n">
        <v>134</v>
      </c>
      <c r="B142" s="11" t="s">
        <v>155</v>
      </c>
      <c r="E142" s="11"/>
    </row>
    <row r="143" customFormat="false" ht="15.75" hidden="false" customHeight="false" outlineLevel="0" collapsed="false">
      <c r="A143" s="1" t="n">
        <v>135</v>
      </c>
      <c r="B143" s="11" t="s">
        <v>156</v>
      </c>
      <c r="E143" s="11"/>
    </row>
    <row r="144" customFormat="false" ht="15.75" hidden="false" customHeight="false" outlineLevel="0" collapsed="false">
      <c r="A144" s="1" t="n">
        <v>136</v>
      </c>
      <c r="B144" s="9" t="s">
        <v>157</v>
      </c>
      <c r="E144" s="9"/>
    </row>
    <row r="145" customFormat="false" ht="15.75" hidden="false" customHeight="false" outlineLevel="0" collapsed="false">
      <c r="A145" s="1" t="n">
        <v>137</v>
      </c>
      <c r="B145" s="9" t="s">
        <v>158</v>
      </c>
      <c r="E145" s="9"/>
    </row>
    <row r="146" customFormat="false" ht="15.75" hidden="false" customHeight="false" outlineLevel="0" collapsed="false">
      <c r="A146" s="1" t="n">
        <v>138</v>
      </c>
      <c r="B146" s="9" t="s">
        <v>159</v>
      </c>
      <c r="E146" s="9"/>
    </row>
    <row r="147" customFormat="false" ht="15.75" hidden="false" customHeight="false" outlineLevel="0" collapsed="false">
      <c r="A147" s="1" t="n">
        <v>139</v>
      </c>
      <c r="B147" s="11" t="s">
        <v>160</v>
      </c>
      <c r="E147" s="11"/>
    </row>
    <row r="148" customFormat="false" ht="15.75" hidden="false" customHeight="false" outlineLevel="0" collapsed="false">
      <c r="A148" s="1" t="n">
        <v>140</v>
      </c>
      <c r="B148" s="11" t="s">
        <v>161</v>
      </c>
      <c r="E148" s="11"/>
    </row>
    <row r="149" customFormat="false" ht="15.75" hidden="false" customHeight="false" outlineLevel="0" collapsed="false">
      <c r="A149" s="1" t="n">
        <v>141</v>
      </c>
      <c r="B149" s="9" t="s">
        <v>162</v>
      </c>
      <c r="E149" s="9"/>
    </row>
    <row r="150" customFormat="false" ht="15.75" hidden="false" customHeight="false" outlineLevel="0" collapsed="false">
      <c r="A150" s="1" t="n">
        <v>142</v>
      </c>
      <c r="B150" s="11" t="s">
        <v>163</v>
      </c>
      <c r="E150" s="11"/>
    </row>
    <row r="151" customFormat="false" ht="15.75" hidden="false" customHeight="false" outlineLevel="0" collapsed="false">
      <c r="A151" s="1" t="n">
        <v>143</v>
      </c>
      <c r="B151" s="9" t="s">
        <v>164</v>
      </c>
      <c r="E151" s="9"/>
    </row>
    <row r="152" customFormat="false" ht="15.75" hidden="false" customHeight="false" outlineLevel="0" collapsed="false">
      <c r="A152" s="1" t="n">
        <v>144</v>
      </c>
      <c r="B152" s="9" t="s">
        <v>165</v>
      </c>
      <c r="E152" s="9"/>
    </row>
    <row r="153" customFormat="false" ht="15.75" hidden="false" customHeight="false" outlineLevel="0" collapsed="false">
      <c r="A153" s="1" t="n">
        <v>145</v>
      </c>
      <c r="B153" s="11" t="s">
        <v>166</v>
      </c>
      <c r="E153" s="11"/>
    </row>
    <row r="154" customFormat="false" ht="15.75" hidden="false" customHeight="false" outlineLevel="0" collapsed="false">
      <c r="A154" s="1" t="n">
        <v>146</v>
      </c>
      <c r="B154" s="11" t="s">
        <v>167</v>
      </c>
      <c r="E154" s="11"/>
    </row>
    <row r="155" customFormat="false" ht="15.75" hidden="false" customHeight="false" outlineLevel="0" collapsed="false">
      <c r="A155" s="1" t="n">
        <v>147</v>
      </c>
      <c r="B155" s="9" t="s">
        <v>168</v>
      </c>
      <c r="E155" s="9"/>
    </row>
    <row r="156" customFormat="false" ht="15.75" hidden="false" customHeight="false" outlineLevel="0" collapsed="false">
      <c r="A156" s="1" t="n">
        <v>148</v>
      </c>
      <c r="B156" s="11" t="s">
        <v>169</v>
      </c>
      <c r="E156" s="11"/>
    </row>
    <row r="157" customFormat="false" ht="15.75" hidden="false" customHeight="false" outlineLevel="0" collapsed="false">
      <c r="A157" s="1" t="n">
        <v>149</v>
      </c>
      <c r="B157" s="9" t="s">
        <v>170</v>
      </c>
      <c r="E157" s="9"/>
    </row>
    <row r="158" customFormat="false" ht="15.75" hidden="false" customHeight="false" outlineLevel="0" collapsed="false">
      <c r="A158" s="1" t="n">
        <v>150</v>
      </c>
      <c r="B158" s="11" t="s">
        <v>171</v>
      </c>
      <c r="E158" s="11"/>
    </row>
    <row r="159" customFormat="false" ht="15.75" hidden="false" customHeight="false" outlineLevel="0" collapsed="false">
      <c r="A159" s="1" t="n">
        <v>151</v>
      </c>
      <c r="B159" s="11" t="s">
        <v>172</v>
      </c>
      <c r="E159" s="11"/>
    </row>
    <row r="160" customFormat="false" ht="15.75" hidden="false" customHeight="false" outlineLevel="0" collapsed="false">
      <c r="A160" s="1" t="n">
        <v>152</v>
      </c>
      <c r="B160" s="9" t="s">
        <v>173</v>
      </c>
      <c r="E160" s="9"/>
    </row>
    <row r="161" customFormat="false" ht="15.75" hidden="false" customHeight="false" outlineLevel="0" collapsed="false">
      <c r="A161" s="1" t="n">
        <v>153</v>
      </c>
      <c r="B161" s="9" t="s">
        <v>174</v>
      </c>
      <c r="E161" s="9"/>
    </row>
    <row r="162" customFormat="false" ht="15.75" hidden="false" customHeight="false" outlineLevel="0" collapsed="false">
      <c r="A162" s="1" t="n">
        <v>154</v>
      </c>
      <c r="B162" s="11" t="s">
        <v>175</v>
      </c>
      <c r="E162" s="11"/>
    </row>
    <row r="163" customFormat="false" ht="15.75" hidden="false" customHeight="false" outlineLevel="0" collapsed="false">
      <c r="A163" s="1" t="n">
        <v>155</v>
      </c>
      <c r="B163" s="11" t="s">
        <v>176</v>
      </c>
      <c r="E163" s="11"/>
    </row>
    <row r="164" customFormat="false" ht="15.75" hidden="false" customHeight="false" outlineLevel="0" collapsed="false">
      <c r="A164" s="1" t="n">
        <v>156</v>
      </c>
      <c r="B164" s="11" t="s">
        <v>177</v>
      </c>
      <c r="E164" s="11"/>
    </row>
    <row r="165" customFormat="false" ht="15.75" hidden="false" customHeight="false" outlineLevel="0" collapsed="false">
      <c r="A165" s="1" t="n">
        <v>157</v>
      </c>
      <c r="B165" s="11" t="s">
        <v>178</v>
      </c>
      <c r="E165" s="11"/>
    </row>
    <row r="166" customFormat="false" ht="15.75" hidden="false" customHeight="false" outlineLevel="0" collapsed="false">
      <c r="A166" s="1" t="n">
        <v>158</v>
      </c>
      <c r="B166" s="9" t="s">
        <v>179</v>
      </c>
      <c r="E166" s="9"/>
    </row>
    <row r="167" customFormat="false" ht="15.75" hidden="false" customHeight="false" outlineLevel="0" collapsed="false">
      <c r="A167" s="1" t="n">
        <v>159</v>
      </c>
      <c r="B167" s="11" t="s">
        <v>180</v>
      </c>
      <c r="E167" s="11"/>
    </row>
    <row r="168" customFormat="false" ht="15.75" hidden="false" customHeight="false" outlineLevel="0" collapsed="false">
      <c r="A168" s="1" t="n">
        <v>160</v>
      </c>
      <c r="B168" s="11" t="s">
        <v>181</v>
      </c>
      <c r="E168" s="11"/>
    </row>
    <row r="169" customFormat="false" ht="15.75" hidden="false" customHeight="false" outlineLevel="0" collapsed="false">
      <c r="A169" s="1" t="n">
        <v>161</v>
      </c>
      <c r="B169" s="9" t="s">
        <v>182</v>
      </c>
      <c r="E169" s="9"/>
    </row>
    <row r="170" customFormat="false" ht="15.75" hidden="false" customHeight="false" outlineLevel="0" collapsed="false">
      <c r="A170" s="1" t="n">
        <v>162</v>
      </c>
      <c r="B170" s="11" t="s">
        <v>183</v>
      </c>
      <c r="E170" s="11"/>
    </row>
    <row r="171" customFormat="false" ht="15.75" hidden="false" customHeight="false" outlineLevel="0" collapsed="false">
      <c r="A171" s="1" t="n">
        <v>163</v>
      </c>
      <c r="B171" s="11" t="s">
        <v>184</v>
      </c>
      <c r="E171" s="11"/>
    </row>
    <row r="172" customFormat="false" ht="15.75" hidden="false" customHeight="false" outlineLevel="0" collapsed="false">
      <c r="A172" s="1" t="n">
        <v>164</v>
      </c>
      <c r="B172" s="11" t="s">
        <v>185</v>
      </c>
      <c r="E172" s="11"/>
    </row>
    <row r="173" customFormat="false" ht="15.75" hidden="false" customHeight="false" outlineLevel="0" collapsed="false">
      <c r="A173" s="1" t="n">
        <v>165</v>
      </c>
      <c r="B173" s="11" t="s">
        <v>186</v>
      </c>
      <c r="E173" s="11"/>
    </row>
    <row r="174" customFormat="false" ht="15.75" hidden="false" customHeight="false" outlineLevel="0" collapsed="false">
      <c r="A174" s="1" t="n">
        <v>166</v>
      </c>
      <c r="B174" s="11" t="s">
        <v>187</v>
      </c>
      <c r="E174" s="11"/>
    </row>
    <row r="175" customFormat="false" ht="15.75" hidden="false" customHeight="false" outlineLevel="0" collapsed="false">
      <c r="A175" s="1" t="n">
        <v>167</v>
      </c>
      <c r="B175" s="9" t="s">
        <v>188</v>
      </c>
      <c r="E175" s="9"/>
    </row>
    <row r="176" customFormat="false" ht="15.75" hidden="false" customHeight="false" outlineLevel="0" collapsed="false">
      <c r="A176" s="1" t="n">
        <v>168</v>
      </c>
      <c r="B176" s="11" t="s">
        <v>189</v>
      </c>
      <c r="E176" s="11"/>
    </row>
    <row r="177" customFormat="false" ht="15.75" hidden="false" customHeight="false" outlineLevel="0" collapsed="false">
      <c r="A177" s="1" t="n">
        <v>169</v>
      </c>
      <c r="B177" s="9" t="s">
        <v>190</v>
      </c>
      <c r="E177" s="9"/>
    </row>
    <row r="178" customFormat="false" ht="15.75" hidden="false" customHeight="false" outlineLevel="0" collapsed="false">
      <c r="A178" s="1" t="n">
        <v>170</v>
      </c>
      <c r="B178" s="11" t="s">
        <v>191</v>
      </c>
      <c r="E178" s="11"/>
    </row>
    <row r="179" customFormat="false" ht="15.75" hidden="false" customHeight="false" outlineLevel="0" collapsed="false">
      <c r="A179" s="1" t="n">
        <v>171</v>
      </c>
      <c r="B179" s="11" t="s">
        <v>192</v>
      </c>
      <c r="E179" s="11"/>
    </row>
    <row r="180" customFormat="false" ht="15.75" hidden="false" customHeight="false" outlineLevel="0" collapsed="false">
      <c r="A180" s="1" t="n">
        <v>172</v>
      </c>
      <c r="B180" s="11" t="s">
        <v>193</v>
      </c>
      <c r="E180" s="11"/>
    </row>
    <row r="181" customFormat="false" ht="15.75" hidden="false" customHeight="false" outlineLevel="0" collapsed="false">
      <c r="A181" s="1" t="n">
        <v>173</v>
      </c>
      <c r="B181" s="11" t="s">
        <v>194</v>
      </c>
      <c r="E181" s="11"/>
    </row>
    <row r="182" customFormat="false" ht="16.4" hidden="false" customHeight="false" outlineLevel="0" collapsed="false">
      <c r="A182" s="1" t="n">
        <v>174</v>
      </c>
      <c r="B182" s="11" t="s">
        <v>195</v>
      </c>
      <c r="E182" s="11"/>
    </row>
    <row r="183" customFormat="false" ht="15.75" hidden="false" customHeight="false" outlineLevel="0" collapsed="false">
      <c r="A183" s="1" t="n">
        <v>175</v>
      </c>
      <c r="B183" s="11" t="s">
        <v>196</v>
      </c>
      <c r="E183" s="11"/>
    </row>
    <row r="184" customFormat="false" ht="15.75" hidden="false" customHeight="false" outlineLevel="0" collapsed="false">
      <c r="A184" s="1" t="n">
        <v>176</v>
      </c>
      <c r="B184" s="11" t="s">
        <v>197</v>
      </c>
      <c r="E184" s="11"/>
    </row>
    <row r="185" customFormat="false" ht="16.4" hidden="false" customHeight="false" outlineLevel="0" collapsed="false">
      <c r="A185" s="1" t="n">
        <v>177</v>
      </c>
      <c r="B185" s="12" t="s">
        <v>198</v>
      </c>
      <c r="E185" s="12"/>
    </row>
    <row r="186" customFormat="false" ht="16.4" hidden="false" customHeight="false" outlineLevel="0" collapsed="false">
      <c r="A186" s="1" t="n">
        <v>178</v>
      </c>
      <c r="B186" s="12" t="s">
        <v>199</v>
      </c>
      <c r="E186" s="12"/>
    </row>
    <row r="187" customFormat="false" ht="16.4" hidden="false" customHeight="false" outlineLevel="0" collapsed="false">
      <c r="A187" s="1" t="n">
        <v>179</v>
      </c>
      <c r="B187" s="12" t="s">
        <v>200</v>
      </c>
      <c r="E187" s="12"/>
    </row>
    <row r="188" customFormat="false" ht="16.4" hidden="false" customHeight="false" outlineLevel="0" collapsed="false">
      <c r="A188" s="1" t="n">
        <v>180</v>
      </c>
      <c r="B188" s="12" t="s">
        <v>201</v>
      </c>
      <c r="E188" s="12"/>
    </row>
  </sheetData>
  <hyperlinks>
    <hyperlink ref="B185" r:id="rId1" display="Pandemonium"/>
    <hyperlink ref="B186" r:id="rId2" display="Prying Times"/>
    <hyperlink ref="B187" r:id="rId3" display="Current Affairs"/>
    <hyperlink ref="B188" r:id="rId4" display="Troubled Tortugan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02"/>
  <sheetViews>
    <sheetView showFormulas="false" showGridLines="true" showRowColHeaders="true" showZeros="true" rightToLeft="false" tabSelected="true" showOutlineSymbols="true" defaultGridColor="true" view="normal" topLeftCell="A163" colorId="64" zoomScale="95" zoomScaleNormal="95" zoomScalePageLayoutView="100" workbookViewId="0">
      <selection pane="topLeft" activeCell="E17" activeCellId="0" sqref="E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3.93"/>
    <col collapsed="false" customWidth="true" hidden="false" outlineLevel="0" max="2" min="2" style="1" width="13.91"/>
    <col collapsed="false" customWidth="true" hidden="false" outlineLevel="0" max="3" min="3" style="1" width="15.82"/>
    <col collapsed="false" customWidth="true" hidden="false" outlineLevel="0" max="4" min="4" style="1" width="41.45"/>
    <col collapsed="false" customWidth="true" hidden="false" outlineLevel="0" max="5" min="5" style="1" width="10.85"/>
    <col collapsed="false" customWidth="true" hidden="false" outlineLevel="0" max="6" min="6" style="1" width="6.53"/>
    <col collapsed="false" customWidth="true" hidden="false" outlineLevel="0" max="7" min="7" style="1" width="5.84"/>
    <col collapsed="false" customWidth="true" hidden="false" outlineLevel="0" max="8" min="8" style="1" width="8.9"/>
    <col collapsed="false" customWidth="true" hidden="false" outlineLevel="0" max="9" min="9" style="1" width="8.76"/>
    <col collapsed="false" customWidth="true" hidden="false" outlineLevel="0" max="10" min="10" style="1" width="8.06"/>
    <col collapsed="false" customWidth="true" hidden="false" outlineLevel="0" max="11" min="11" style="1" width="7.09"/>
    <col collapsed="false" customWidth="true" hidden="false" outlineLevel="0" max="12" min="12" style="1" width="9.33"/>
    <col collapsed="false" customWidth="true" hidden="false" outlineLevel="0" max="13" min="13" style="1" width="6.96"/>
    <col collapsed="false" customWidth="true" hidden="false" outlineLevel="0" max="14" min="14" style="1" width="8.21"/>
    <col collapsed="false" customWidth="true" hidden="false" outlineLevel="0" max="15" min="15" style="1" width="9.6"/>
    <col collapsed="false" customWidth="true" hidden="false" outlineLevel="0" max="16" min="16" style="1" width="9.33"/>
    <col collapsed="false" customWidth="true" hidden="false" outlineLevel="0" max="17" min="17" style="1" width="9.46"/>
    <col collapsed="false" customWidth="true" hidden="false" outlineLevel="0" max="18" min="18" style="1" width="6.96"/>
    <col collapsed="false" customWidth="true" hidden="false" outlineLevel="0" max="19" min="19" style="1" width="8.21"/>
    <col collapsed="false" customWidth="true" hidden="false" outlineLevel="0" max="20" min="20" style="1" width="7.37"/>
    <col collapsed="false" customWidth="true" hidden="false" outlineLevel="0" max="21" min="21" style="1" width="8.06"/>
    <col collapsed="false" customWidth="true" hidden="false" outlineLevel="0" max="23" min="22" style="1" width="6.25"/>
    <col collapsed="false" customWidth="true" hidden="false" outlineLevel="0" max="24" min="24" style="1" width="7.65"/>
    <col collapsed="false" customWidth="true" hidden="false" outlineLevel="0" max="25" min="25" style="1" width="7.23"/>
    <col collapsed="false" customWidth="true" hidden="false" outlineLevel="0" max="26" min="26" style="1" width="8.34"/>
    <col collapsed="false" customWidth="true" hidden="false" outlineLevel="0" max="27" min="27" style="1" width="6.68"/>
    <col collapsed="false" customWidth="true" hidden="false" outlineLevel="0" max="28" min="28" style="1" width="7.78"/>
    <col collapsed="false" customWidth="true" hidden="false" outlineLevel="0" max="29" min="29" style="1" width="8.34"/>
    <col collapsed="false" customWidth="true" hidden="false" outlineLevel="0" max="32" min="32" style="1" width="19.61"/>
    <col collapsed="false" customWidth="true" hidden="false" outlineLevel="0" max="33" min="33" style="1" width="33.56"/>
    <col collapsed="false" customWidth="true" hidden="false" outlineLevel="0" max="36" min="36" style="1" width="43.64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6"/>
      <c r="F1" s="8" t="s">
        <v>202</v>
      </c>
      <c r="G1" s="8" t="s">
        <v>203</v>
      </c>
      <c r="H1" s="8" t="s">
        <v>204</v>
      </c>
      <c r="I1" s="8" t="s">
        <v>205</v>
      </c>
      <c r="J1" s="8" t="s">
        <v>206</v>
      </c>
      <c r="K1" s="8" t="s">
        <v>207</v>
      </c>
      <c r="L1" s="8" t="s">
        <v>208</v>
      </c>
      <c r="M1" s="8" t="s">
        <v>7</v>
      </c>
      <c r="N1" s="8" t="s">
        <v>209</v>
      </c>
      <c r="O1" s="8" t="s">
        <v>210</v>
      </c>
      <c r="P1" s="8" t="s">
        <v>211</v>
      </c>
      <c r="Q1" s="8" t="s">
        <v>212</v>
      </c>
      <c r="R1" s="8" t="s">
        <v>213</v>
      </c>
      <c r="S1" s="8" t="s">
        <v>214</v>
      </c>
      <c r="T1" s="8" t="s">
        <v>215</v>
      </c>
      <c r="U1" s="8" t="s">
        <v>216</v>
      </c>
      <c r="V1" s="8" t="s">
        <v>16</v>
      </c>
      <c r="W1" s="13" t="s">
        <v>217</v>
      </c>
      <c r="X1" s="8" t="s">
        <v>218</v>
      </c>
      <c r="Y1" s="8" t="s">
        <v>219</v>
      </c>
      <c r="Z1" s="8" t="s">
        <v>220</v>
      </c>
      <c r="AA1" s="8" t="s">
        <v>221</v>
      </c>
      <c r="AB1" s="8" t="s">
        <v>22</v>
      </c>
      <c r="AC1" s="8" t="s">
        <v>222</v>
      </c>
      <c r="AD1" s="8" t="s">
        <v>24</v>
      </c>
      <c r="AE1" s="7" t="s">
        <v>223</v>
      </c>
    </row>
    <row r="2" customFormat="false" ht="15.75" hidden="false" customHeight="false" outlineLevel="0" collapsed="false">
      <c r="A2" s="6"/>
      <c r="F2" s="14" t="n">
        <f aca="false">'Personal Stats'!A2</f>
        <v>45</v>
      </c>
      <c r="G2" s="14" t="n">
        <f aca="false">'Personal Stats'!B2</f>
        <v>60</v>
      </c>
      <c r="H2" s="14" t="n">
        <f aca="false">'Personal Stats'!C2</f>
        <v>52</v>
      </c>
      <c r="I2" s="14" t="n">
        <f aca="false">'Personal Stats'!D2</f>
        <v>66</v>
      </c>
      <c r="J2" s="14" t="n">
        <f aca="false">'Personal Stats'!E2</f>
        <v>50</v>
      </c>
      <c r="K2" s="14" t="n">
        <f aca="false">'Personal Stats'!F2</f>
        <v>70</v>
      </c>
      <c r="L2" s="14" t="n">
        <f aca="false">'Personal Stats'!G2</f>
        <v>52</v>
      </c>
      <c r="M2" s="14" t="n">
        <f aca="false">'Personal Stats'!H2</f>
        <v>66</v>
      </c>
      <c r="N2" s="14" t="n">
        <f aca="false">'Personal Stats'!I2</f>
        <v>62</v>
      </c>
      <c r="O2" s="14" t="n">
        <f aca="false">'Personal Stats'!J2</f>
        <v>52</v>
      </c>
      <c r="P2" s="14" t="n">
        <f aca="false">'Personal Stats'!K2</f>
        <v>54</v>
      </c>
      <c r="Q2" s="14" t="n">
        <f aca="false">'Personal Stats'!L2</f>
        <v>42</v>
      </c>
      <c r="R2" s="14" t="n">
        <f aca="false">'Personal Stats'!M2</f>
        <v>67</v>
      </c>
      <c r="S2" s="14" t="n">
        <f aca="false">'Personal Stats'!N2</f>
        <v>51</v>
      </c>
      <c r="T2" s="14" t="n">
        <f aca="false">'Personal Stats'!O2</f>
        <v>70</v>
      </c>
      <c r="U2" s="14" t="n">
        <f aca="false">'Personal Stats'!P2</f>
        <v>75</v>
      </c>
      <c r="V2" s="14" t="n">
        <f aca="false">'Personal Stats'!Q2</f>
        <v>23</v>
      </c>
      <c r="W2" s="14" t="n">
        <f aca="false">'Personal Stats'!R2</f>
        <v>48</v>
      </c>
      <c r="X2" s="14" t="n">
        <f aca="false">'Personal Stats'!S2</f>
        <v>47</v>
      </c>
      <c r="Y2" s="14" t="n">
        <f aca="false">'Personal Stats'!T2</f>
        <v>53</v>
      </c>
      <c r="Z2" s="14" t="n">
        <f aca="false">'Personal Stats'!U2</f>
        <v>70</v>
      </c>
      <c r="AA2" s="14" t="n">
        <f aca="false">'Personal Stats'!V2</f>
        <v>54</v>
      </c>
      <c r="AB2" s="14" t="n">
        <f aca="false">'Personal Stats'!W2</f>
        <v>60</v>
      </c>
      <c r="AC2" s="14" t="n">
        <f aca="false">'Personal Stats'!X2</f>
        <v>191</v>
      </c>
      <c r="AD2" s="14" t="n">
        <f aca="false">'Personal Stats'!Y2</f>
        <v>86</v>
      </c>
    </row>
    <row r="3" customFormat="false" ht="15.75" hidden="false" customHeight="false" outlineLevel="0" collapsed="false">
      <c r="F3" s="6"/>
      <c r="W3" s="15"/>
      <c r="AD3" s="1"/>
    </row>
    <row r="4" customFormat="false" ht="15.75" hidden="false" customHeight="false" outlineLevel="0" collapsed="false">
      <c r="A4" s="8" t="s">
        <v>224</v>
      </c>
      <c r="B4" s="8" t="s">
        <v>225</v>
      </c>
      <c r="C4" s="8" t="s">
        <v>226</v>
      </c>
      <c r="D4" s="8" t="s">
        <v>227</v>
      </c>
      <c r="E4" s="8" t="s">
        <v>228</v>
      </c>
      <c r="F4" s="8" t="s">
        <v>202</v>
      </c>
      <c r="G4" s="8" t="s">
        <v>203</v>
      </c>
      <c r="H4" s="8" t="s">
        <v>204</v>
      </c>
      <c r="I4" s="8" t="s">
        <v>205</v>
      </c>
      <c r="J4" s="8" t="s">
        <v>206</v>
      </c>
      <c r="K4" s="8" t="s">
        <v>207</v>
      </c>
      <c r="L4" s="8" t="s">
        <v>208</v>
      </c>
      <c r="M4" s="8" t="s">
        <v>7</v>
      </c>
      <c r="N4" s="8" t="s">
        <v>209</v>
      </c>
      <c r="O4" s="8" t="s">
        <v>210</v>
      </c>
      <c r="P4" s="8" t="s">
        <v>211</v>
      </c>
      <c r="Q4" s="8" t="s">
        <v>212</v>
      </c>
      <c r="R4" s="8" t="s">
        <v>213</v>
      </c>
      <c r="S4" s="8" t="s">
        <v>214</v>
      </c>
      <c r="T4" s="8" t="s">
        <v>215</v>
      </c>
      <c r="U4" s="8" t="s">
        <v>216</v>
      </c>
      <c r="V4" s="8" t="s">
        <v>16</v>
      </c>
      <c r="W4" s="15" t="s">
        <v>217</v>
      </c>
      <c r="X4" s="8" t="s">
        <v>218</v>
      </c>
      <c r="Y4" s="8" t="s">
        <v>219</v>
      </c>
      <c r="Z4" s="8" t="s">
        <v>220</v>
      </c>
      <c r="AA4" s="8" t="s">
        <v>221</v>
      </c>
      <c r="AB4" s="8" t="s">
        <v>22</v>
      </c>
      <c r="AC4" s="8" t="s">
        <v>222</v>
      </c>
      <c r="AD4" s="8" t="s">
        <v>24</v>
      </c>
    </row>
    <row r="5" customFormat="false" ht="17.35" hidden="false" customHeight="false" outlineLevel="0" collapsed="false">
      <c r="A5" s="8" t="s">
        <v>26</v>
      </c>
      <c r="B5" s="16" t="b">
        <f aca="false">AND(D5=TRUE(),E5=TRUE())</f>
        <v>1</v>
      </c>
      <c r="C5" s="17" t="s">
        <v>229</v>
      </c>
      <c r="D5" s="16" t="b">
        <f aca="false">TRUE()</f>
        <v>1</v>
      </c>
      <c r="E5" s="16" t="b">
        <f aca="false">SUMPRODUCT((F5:AD5 &lt;&gt; "") * (F5:AD5 &lt; F$2:AD$2)) = 4</f>
        <v>1</v>
      </c>
      <c r="F5" s="18"/>
      <c r="G5" s="18"/>
      <c r="H5" s="18"/>
      <c r="I5" s="18"/>
      <c r="J5" s="18" t="n">
        <v>19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 t="n">
        <v>30</v>
      </c>
      <c r="V5" s="18"/>
      <c r="W5" s="19"/>
      <c r="X5" s="18" t="n">
        <v>18</v>
      </c>
      <c r="Y5" s="18"/>
      <c r="Z5" s="18"/>
      <c r="AA5" s="18"/>
      <c r="AB5" s="18" t="n">
        <v>35</v>
      </c>
      <c r="AC5" s="18"/>
      <c r="AD5" s="18"/>
      <c r="AE5" s="7" t="n">
        <f aca="false">SUMPRODUCT((F5:AA5 - $F$2:$AA$2) * ((F5:AA5 - $F$2:$AA$2) &gt; 0))</f>
        <v>0</v>
      </c>
      <c r="AF5" s="7"/>
      <c r="AH5" s="7"/>
      <c r="AI5" s="20"/>
      <c r="AJ5" s="8" t="s">
        <v>26</v>
      </c>
      <c r="AK5" s="21" t="str">
        <f aca="false">IFERROR(ADDRESS(MATCH(AJ5, $A$5:$A$180, 0) + 4, COLUMN(A1)), "Not Found")</f>
        <v>$A$5</v>
      </c>
    </row>
    <row r="6" customFormat="false" ht="17.35" hidden="false" customHeight="false" outlineLevel="0" collapsed="false">
      <c r="A6" s="8" t="s">
        <v>27</v>
      </c>
      <c r="B6" s="16" t="b">
        <f aca="false">AND(D6=TRUE(),E6=TRUE())</f>
        <v>0</v>
      </c>
      <c r="C6" s="17" t="s">
        <v>230</v>
      </c>
      <c r="D6" s="16" t="b">
        <f aca="false">AND(INDEX(C:C, MATCH("Death to the Dorgeshuun", AJ:AJ, 0)) = "Y",INDEX(C:C, MATCH("Giant Dwarf, The", AJ:AJ, 0)) = "Y",INDEX(C:C, MATCH("Digsite, The", AJ:AJ, 0)) = "Y")</f>
        <v>0</v>
      </c>
      <c r="E6" s="16" t="b">
        <f aca="false">SUMPRODUCT((F6:AD6 &lt;&gt; "") * (F6:AD6 &lt; F$2:AD$2)) = 2</f>
        <v>1</v>
      </c>
      <c r="F6" s="18"/>
      <c r="G6" s="18" t="n">
        <v>15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 t="n">
        <v>25</v>
      </c>
      <c r="U6" s="18"/>
      <c r="V6" s="18"/>
      <c r="W6" s="19"/>
      <c r="X6" s="18"/>
      <c r="Y6" s="18"/>
      <c r="Z6" s="18"/>
      <c r="AA6" s="18"/>
      <c r="AB6" s="18"/>
      <c r="AC6" s="18"/>
      <c r="AD6" s="18"/>
      <c r="AE6" s="7" t="n">
        <f aca="false">SUMPRODUCT((F6:AA6 - $F$2:$AA$2) * ((F6:AA6 - $F$2:$AA$2) &gt; 0))</f>
        <v>0</v>
      </c>
      <c r="AF6" s="7"/>
      <c r="AG6" s="7"/>
      <c r="AH6" s="7"/>
      <c r="AI6" s="20"/>
      <c r="AJ6" s="8" t="s">
        <v>27</v>
      </c>
      <c r="AK6" s="21" t="str">
        <f aca="false">IFERROR(ADDRESS(MATCH(AJ6, $A$5:$A$180, 0) + 4, COLUMN(A2)), "Not Found")</f>
        <v>$A$6</v>
      </c>
    </row>
    <row r="7" customFormat="false" ht="17.35" hidden="false" customHeight="false" outlineLevel="0" collapsed="false">
      <c r="A7" s="8" t="s">
        <v>28</v>
      </c>
      <c r="B7" s="16" t="b">
        <f aca="false">AND(D7=TRUE(),E7=TRUE())</f>
        <v>1</v>
      </c>
      <c r="C7" s="17" t="s">
        <v>229</v>
      </c>
      <c r="D7" s="16" t="b">
        <f aca="false">AND(INDEX(C:C, MATCH("Dwarf Cannon", AJ:AJ, 0)) = "Y",INDEX(C:C, MATCH("Fishing Contest", AJ:AJ, 0)) = "Y")</f>
        <v>1</v>
      </c>
      <c r="E7" s="16" t="b">
        <f aca="false">SUMPRODUCT((F7:AD7 &lt;&gt; "") * (F7:AD7 &lt; F$2:AD$2)) = 3</f>
        <v>1</v>
      </c>
      <c r="F7" s="18"/>
      <c r="G7" s="18"/>
      <c r="H7" s="18"/>
      <c r="I7" s="18"/>
      <c r="J7" s="18"/>
      <c r="K7" s="18" t="n">
        <v>30</v>
      </c>
      <c r="L7" s="18"/>
      <c r="M7" s="18"/>
      <c r="N7" s="18"/>
      <c r="O7" s="18"/>
      <c r="P7" s="18"/>
      <c r="Q7" s="18"/>
      <c r="R7" s="18"/>
      <c r="S7" s="18" t="n">
        <v>40</v>
      </c>
      <c r="T7" s="18"/>
      <c r="U7" s="18"/>
      <c r="V7" s="18"/>
      <c r="W7" s="19"/>
      <c r="X7" s="18"/>
      <c r="Y7" s="18" t="n">
        <v>50</v>
      </c>
      <c r="Z7" s="18"/>
      <c r="AA7" s="18"/>
      <c r="AB7" s="18"/>
      <c r="AC7" s="18"/>
      <c r="AD7" s="18"/>
      <c r="AE7" s="7" t="n">
        <f aca="false">SUMPRODUCT((F7:AA7 - $F$2:$AA$2) * ((F7:AA7 - $F$2:$AA$2) &gt; 0))</f>
        <v>0</v>
      </c>
      <c r="AF7" s="7"/>
      <c r="AG7" s="7"/>
      <c r="AH7" s="7"/>
      <c r="AI7" s="20"/>
      <c r="AJ7" s="8" t="s">
        <v>28</v>
      </c>
      <c r="AK7" s="21" t="str">
        <f aca="false">IFERROR(ADDRESS(MATCH(AJ7, $A$5:$A$180, 0) + 4, COLUMN(A3)), "Not Found")</f>
        <v>$A$7</v>
      </c>
      <c r="AL7" s="20"/>
    </row>
    <row r="8" customFormat="false" ht="17.35" hidden="false" customHeight="false" outlineLevel="0" collapsed="false">
      <c r="A8" s="8" t="s">
        <v>29</v>
      </c>
      <c r="B8" s="16" t="b">
        <f aca="false">AND(D8=TRUE(),E8=TRUE())</f>
        <v>0</v>
      </c>
      <c r="C8" s="17" t="s">
        <v>229</v>
      </c>
      <c r="D8" s="16" t="b">
        <f aca="false">TRUE()</f>
        <v>1</v>
      </c>
      <c r="E8" s="16" t="n">
        <f aca="false">SUMPRODUCT((F8:AD8 &lt;&gt; "") * (F8:AD8 &lt; F$2:AD$2)) = 4</f>
        <v>0</v>
      </c>
      <c r="F8" s="18"/>
      <c r="G8" s="18"/>
      <c r="H8" s="18"/>
      <c r="I8" s="22" t="n">
        <v>30</v>
      </c>
      <c r="J8" s="18"/>
      <c r="K8" s="18"/>
      <c r="L8" s="18"/>
      <c r="M8" s="18"/>
      <c r="N8" s="18"/>
      <c r="O8" s="18" t="n">
        <v>5</v>
      </c>
      <c r="P8" s="18"/>
      <c r="Q8" s="18"/>
      <c r="R8" s="18"/>
      <c r="S8" s="18"/>
      <c r="T8" s="18"/>
      <c r="U8" s="18" t="n">
        <v>30</v>
      </c>
      <c r="V8" s="18"/>
      <c r="W8" s="19"/>
      <c r="X8" s="18"/>
      <c r="Y8" s="18"/>
      <c r="Z8" s="18"/>
      <c r="AA8" s="18"/>
      <c r="AB8" s="18"/>
      <c r="AC8" s="18"/>
      <c r="AD8" s="18"/>
      <c r="AE8" s="7" t="n">
        <f aca="false">SUMPRODUCT((F8:AA8 - $F$2:$AA$2) * ((F8:AA8 - $F$2:$AA$2) &gt; 0))</f>
        <v>0</v>
      </c>
      <c r="AF8" s="7"/>
      <c r="AG8" s="7"/>
      <c r="AH8" s="7"/>
      <c r="AI8" s="20"/>
      <c r="AJ8" s="8" t="s">
        <v>29</v>
      </c>
      <c r="AK8" s="21" t="str">
        <f aca="false">IFERROR(ADDRESS(MATCH(AJ8, $A$5:$A$180, 0) + 4, COLUMN(A4)), "Not Found")</f>
        <v>$A$8</v>
      </c>
    </row>
    <row r="9" customFormat="false" ht="17.35" hidden="false" customHeight="false" outlineLevel="0" collapsed="false">
      <c r="A9" s="8" t="s">
        <v>31</v>
      </c>
      <c r="B9" s="16" t="b">
        <f aca="false">AND(D9=TRUE(),E9=TRUE())</f>
        <v>1</v>
      </c>
      <c r="C9" s="17" t="s">
        <v>229</v>
      </c>
      <c r="D9" s="16" t="b">
        <f aca="false">AND(INDEX(C:C, MATCH("Plague City", AJ:AJ, 0)) = "Y")</f>
        <v>1</v>
      </c>
      <c r="E9" s="16" t="b">
        <f aca="false">SUMPRODUCT((F9:AD9 &lt;&gt; "") * (F9:AD9 &lt; F$2:AD$2)) = 1</f>
        <v>1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 t="n">
        <v>33</v>
      </c>
      <c r="S9" s="18"/>
      <c r="T9" s="18"/>
      <c r="U9" s="18"/>
      <c r="V9" s="18"/>
      <c r="W9" s="19"/>
      <c r="X9" s="18"/>
      <c r="Y9" s="18"/>
      <c r="Z9" s="18"/>
      <c r="AA9" s="18"/>
      <c r="AB9" s="18"/>
      <c r="AC9" s="18"/>
      <c r="AD9" s="18"/>
      <c r="AE9" s="7" t="n">
        <f aca="false">SUMPRODUCT((F9:AA9 - $F$2:$AA$2) * ((F9:AA9 - $F$2:$AA$2) &gt; 0))</f>
        <v>0</v>
      </c>
      <c r="AF9" s="7"/>
      <c r="AG9" s="7"/>
      <c r="AH9" s="7"/>
      <c r="AI9" s="20"/>
      <c r="AJ9" s="8" t="s">
        <v>31</v>
      </c>
      <c r="AK9" s="21" t="str">
        <f aca="false">IFERROR(ADDRESS(MATCH(AJ9, $A$5:$A$180, 0) + 4, COLUMN(A5)), "Not Found")</f>
        <v>$A$9</v>
      </c>
    </row>
    <row r="10" customFormat="false" ht="17.35" hidden="false" customHeight="false" outlineLevel="0" collapsed="false">
      <c r="A10" s="8" t="s">
        <v>31</v>
      </c>
      <c r="B10" s="16" t="b">
        <f aca="false">AND(D10=TRUE(),E10=TRUE())</f>
        <v>1</v>
      </c>
      <c r="C10" s="17" t="s">
        <v>229</v>
      </c>
      <c r="D10" s="16" t="b">
        <f aca="false">TRUE()</f>
        <v>1</v>
      </c>
      <c r="E10" s="16" t="b">
        <f aca="false">SUMPRODUCT((F10:AD10 &lt;&gt; "") * (F10:AD10 &lt; F$2:AD$2)) = 0</f>
        <v>1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9"/>
      <c r="X10" s="18"/>
      <c r="Y10" s="18"/>
      <c r="Z10" s="18"/>
      <c r="AA10" s="18"/>
      <c r="AB10" s="18"/>
      <c r="AC10" s="18"/>
      <c r="AD10" s="18"/>
      <c r="AE10" s="7" t="n">
        <f aca="false">SUMPRODUCT((F10:AA10 - $F$2:$AA$2) * ((F10:AA10 - $F$2:$AA$2) &gt; 0))</f>
        <v>0</v>
      </c>
      <c r="AF10" s="7"/>
      <c r="AG10" s="7"/>
      <c r="AH10" s="7"/>
      <c r="AI10" s="20"/>
      <c r="AJ10" s="8" t="s">
        <v>31</v>
      </c>
      <c r="AK10" s="21" t="str">
        <f aca="false">IFERROR(ADDRESS(MATCH(AJ10, $A$5:$A$180, 0) + 4, COLUMN(A6)), "Not Found")</f>
        <v>$A$9</v>
      </c>
    </row>
    <row r="11" customFormat="false" ht="17.35" hidden="false" customHeight="false" outlineLevel="0" collapsed="false">
      <c r="A11" s="8" t="s">
        <v>32</v>
      </c>
      <c r="B11" s="16" t="b">
        <f aca="false">AND(D11=TRUE(),E11=TRUE())</f>
        <v>1</v>
      </c>
      <c r="C11" s="17" t="s">
        <v>229</v>
      </c>
      <c r="D11" s="16" t="b">
        <f aca="false">AND(INDEX(C:C, MATCH("Pirate's Treasure", AJ:AJ, 0)) = "Y", INDEX(C:C, MATCH("Rum Deal", AJ:AJ, 0)) = "Y")</f>
        <v>1</v>
      </c>
      <c r="E11" s="16" t="n">
        <f aca="false">SUMPRODUCT((F11:AD11 &lt;&gt; "") * (F11:AD11 &lt; F$2:AD$2)) = 4</f>
        <v>1</v>
      </c>
      <c r="F11" s="22" t="n">
        <v>42</v>
      </c>
      <c r="G11" s="18"/>
      <c r="H11" s="18"/>
      <c r="I11" s="18"/>
      <c r="J11" s="18" t="n">
        <v>45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 t="n">
        <v>40</v>
      </c>
      <c r="V11" s="18"/>
      <c r="W11" s="19"/>
      <c r="X11" s="18"/>
      <c r="Y11" s="18" t="n">
        <v>50</v>
      </c>
      <c r="Z11" s="18"/>
      <c r="AA11" s="18"/>
      <c r="AB11" s="18"/>
      <c r="AC11" s="18"/>
      <c r="AD11" s="18"/>
      <c r="AE11" s="7" t="n">
        <f aca="false">SUMPRODUCT((F11:AA11 - $F$2:$AA$2) * ((F11:AA11 - $F$2:$AA$2) &gt; 0))</f>
        <v>0</v>
      </c>
      <c r="AF11" s="7"/>
      <c r="AG11" s="7"/>
      <c r="AH11" s="7"/>
      <c r="AI11" s="20"/>
      <c r="AJ11" s="8" t="s">
        <v>32</v>
      </c>
      <c r="AK11" s="21" t="str">
        <f aca="false">IFERROR(ADDRESS(MATCH(AJ11, $A$5:$A$180, 0) + 4, COLUMN(A7)), "Not Found")</f>
        <v>$A$11</v>
      </c>
    </row>
    <row r="12" customFormat="false" ht="17.35" hidden="false" customHeight="false" outlineLevel="0" collapsed="false">
      <c r="A12" s="8" t="s">
        <v>33</v>
      </c>
      <c r="B12" s="16" t="b">
        <f aca="false">AND(D12=TRUE(),E12=TRUE())</f>
        <v>1</v>
      </c>
      <c r="C12" s="23" t="s">
        <v>229</v>
      </c>
      <c r="D12" s="16" t="b">
        <f aca="false">TRUE()</f>
        <v>1</v>
      </c>
      <c r="E12" s="16" t="b">
        <f aca="false">SUMPRODUCT((F12:AD12 &lt;&gt; "") * (F12:AD12 &lt; F$2:AD$2)) = 0</f>
        <v>1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9"/>
      <c r="X12" s="18"/>
      <c r="Y12" s="18"/>
      <c r="Z12" s="18"/>
      <c r="AA12" s="18"/>
      <c r="AB12" s="18"/>
      <c r="AC12" s="18"/>
      <c r="AD12" s="18"/>
      <c r="AE12" s="7" t="n">
        <f aca="false">SUMPRODUCT((F12:AA12 - $F$2:$AA$2) * ((F12:AA12 - $F$2:$AA$2) &gt; 0))</f>
        <v>0</v>
      </c>
      <c r="AF12" s="7"/>
      <c r="AG12" s="7"/>
      <c r="AH12" s="7"/>
      <c r="AI12" s="20"/>
      <c r="AJ12" s="8" t="s">
        <v>33</v>
      </c>
      <c r="AK12" s="21" t="str">
        <f aca="false">IFERROR(ADDRESS(MATCH(AJ12, $A$5:$A$180, 0) + 4, COLUMN(A8)), "Not Found")</f>
        <v>$A$12</v>
      </c>
    </row>
    <row r="13" customFormat="false" ht="17.35" hidden="false" customHeight="false" outlineLevel="0" collapsed="false">
      <c r="A13" s="8" t="s">
        <v>34</v>
      </c>
      <c r="B13" s="16" t="b">
        <f aca="false">AND(D13=TRUE(),E13=TRUE())</f>
        <v>1</v>
      </c>
      <c r="C13" s="17" t="s">
        <v>230</v>
      </c>
      <c r="D13" s="16" t="b">
        <f aca="false">TRUE()</f>
        <v>1</v>
      </c>
      <c r="E13" s="16" t="n">
        <f aca="false">SUMPRODUCT((F13:AD13 &lt;&gt; "") * (F13:AD13 &lt; F$2:AD$2)) = 4</f>
        <v>1</v>
      </c>
      <c r="F13" s="18" t="n">
        <v>30</v>
      </c>
      <c r="G13" s="18"/>
      <c r="H13" s="18" t="n">
        <v>34</v>
      </c>
      <c r="I13" s="18"/>
      <c r="J13" s="18" t="n">
        <v>30</v>
      </c>
      <c r="K13" s="18"/>
      <c r="L13" s="18"/>
      <c r="M13" s="18"/>
      <c r="N13" s="18"/>
      <c r="O13" s="18"/>
      <c r="P13" s="18"/>
      <c r="Q13" s="18" t="n">
        <v>10</v>
      </c>
      <c r="R13" s="18"/>
      <c r="S13" s="18"/>
      <c r="T13" s="18"/>
      <c r="U13" s="18"/>
      <c r="V13" s="18"/>
      <c r="W13" s="19"/>
      <c r="X13" s="18"/>
      <c r="Y13" s="18"/>
      <c r="Z13" s="18"/>
      <c r="AA13" s="18"/>
      <c r="AB13" s="18"/>
      <c r="AC13" s="18"/>
      <c r="AD13" s="18"/>
      <c r="AE13" s="7" t="n">
        <f aca="false">SUMPRODUCT((F13:AA13 - $F$2:$AA$2) * ((F13:AA13 - $F$2:$AA$2) &gt; 0))</f>
        <v>0</v>
      </c>
      <c r="AF13" s="7"/>
      <c r="AG13" s="7"/>
      <c r="AH13" s="7"/>
      <c r="AI13" s="20"/>
      <c r="AJ13" s="8" t="s">
        <v>34</v>
      </c>
      <c r="AK13" s="21" t="str">
        <f aca="false">IFERROR(ADDRESS(MATCH(AJ13, $A$5:$A$180, 0) + 4, COLUMN(A9)), "Not Found")</f>
        <v>$A$13</v>
      </c>
    </row>
    <row r="14" customFormat="false" ht="17.35" hidden="false" customHeight="false" outlineLevel="0" collapsed="false">
      <c r="A14" s="8" t="s">
        <v>35</v>
      </c>
      <c r="B14" s="16" t="b">
        <f aca="false">AND(D14=TRUE(),E14=TRUE())</f>
        <v>1</v>
      </c>
      <c r="C14" s="17" t="s">
        <v>230</v>
      </c>
      <c r="D14" s="16" t="b">
        <f aca="false">AND(INDEX(C:C, MATCH("Prince Ali Rescue", AJ:AJ, 0)) = "Y",INDEX(C:C, MATCH("Gertrude's Cat", AJ:AJ, 0)) = "Y",INDEX(C:C, MATCH("Icthlarin's Little Helper", AJ:AJ, 0)) = "Y")</f>
        <v>1</v>
      </c>
      <c r="E14" s="16" t="b">
        <f aca="false">SUMPRODUCT((F14:AD14 &lt;&gt; "") * (F14:AD14 &lt; F$2:AD$2)) = 0</f>
        <v>1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9"/>
      <c r="X14" s="18"/>
      <c r="Y14" s="18"/>
      <c r="Z14" s="18"/>
      <c r="AA14" s="18"/>
      <c r="AB14" s="18"/>
      <c r="AC14" s="18"/>
      <c r="AD14" s="18"/>
      <c r="AE14" s="7" t="n">
        <f aca="false">SUMPRODUCT((F14:AA14 - $F$2:$AA$2) * ((F14:AA14 - $F$2:$AA$2) &gt; 0))</f>
        <v>0</v>
      </c>
      <c r="AF14" s="7"/>
      <c r="AG14" s="7"/>
      <c r="AH14" s="7"/>
      <c r="AI14" s="20"/>
      <c r="AJ14" s="8" t="s">
        <v>35</v>
      </c>
      <c r="AK14" s="21" t="str">
        <f aca="false">IFERROR(ADDRESS(MATCH(AJ14, $A$5:$A$180, 0) + 4, COLUMN(A10)), "Not Found")</f>
        <v>$A$14</v>
      </c>
    </row>
    <row r="15" customFormat="false" ht="17.35" hidden="false" customHeight="false" outlineLevel="0" collapsed="false">
      <c r="A15" s="8" t="s">
        <v>36</v>
      </c>
      <c r="B15" s="16" t="b">
        <f aca="false">AND(D15=TRUE(),E15=TRUE())</f>
        <v>1</v>
      </c>
      <c r="C15" s="17" t="s">
        <v>229</v>
      </c>
      <c r="D15" s="16" t="b">
        <f aca="false">TRUE()</f>
        <v>1</v>
      </c>
      <c r="E15" s="16" t="b">
        <f aca="false">SUMPRODUCT((F15:AD15 &lt;&gt; "") * (F15:AD15 &lt; F$2:AD$2)) = 0</f>
        <v>1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9"/>
      <c r="X15" s="18"/>
      <c r="Y15" s="18"/>
      <c r="Z15" s="18"/>
      <c r="AA15" s="18"/>
      <c r="AB15" s="18"/>
      <c r="AC15" s="18"/>
      <c r="AD15" s="18"/>
      <c r="AE15" s="7" t="n">
        <f aca="false">SUMPRODUCT((F15:AA15 - $F$2:$AA$2) * ((F15:AA15 - $F$2:$AA$2) &gt; 0))</f>
        <v>0</v>
      </c>
      <c r="AF15" s="7"/>
      <c r="AG15" s="7"/>
      <c r="AH15" s="7"/>
      <c r="AI15" s="20"/>
      <c r="AJ15" s="8" t="s">
        <v>36</v>
      </c>
      <c r="AK15" s="21" t="str">
        <f aca="false">IFERROR(ADDRESS(MATCH(AJ15, $A$5:$A$180, 0) + 4, COLUMN(A11)), "Not Found")</f>
        <v>$A$15</v>
      </c>
    </row>
    <row r="16" customFormat="false" ht="17.35" hidden="false" customHeight="false" outlineLevel="0" collapsed="false">
      <c r="A16" s="8" t="s">
        <v>37</v>
      </c>
      <c r="B16" s="16" t="b">
        <f aca="false">AND(D16=TRUE(),E16=TRUE())</f>
        <v>0</v>
      </c>
      <c r="C16" s="17" t="s">
        <v>229</v>
      </c>
      <c r="D16" s="16" t="b">
        <f aca="false">TRUE()</f>
        <v>1</v>
      </c>
      <c r="E16" s="16" t="b">
        <f aca="false">SUMPRODUCT((F16:AD16 &lt;&gt; "") * (F16:AD16 &lt; F$2:AD$2)) = 1</f>
        <v>0</v>
      </c>
      <c r="F16" s="18"/>
      <c r="G16" s="18"/>
      <c r="H16" s="18"/>
      <c r="I16" s="18"/>
      <c r="J16" s="18" t="n">
        <v>20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9"/>
      <c r="X16" s="18"/>
      <c r="Y16" s="18"/>
      <c r="Z16" s="18"/>
      <c r="AA16" s="18" t="n">
        <v>25</v>
      </c>
      <c r="AB16" s="18"/>
      <c r="AC16" s="18"/>
      <c r="AD16" s="18"/>
      <c r="AE16" s="7" t="n">
        <f aca="false">SUMPRODUCT((F16:AA16 - $F$2:$AA$2) * ((F16:AA16 - $F$2:$AA$2) &gt; 0))</f>
        <v>0</v>
      </c>
      <c r="AF16" s="7"/>
      <c r="AG16" s="7"/>
      <c r="AH16" s="7"/>
      <c r="AI16" s="20"/>
      <c r="AJ16" s="8" t="s">
        <v>37</v>
      </c>
      <c r="AK16" s="21" t="str">
        <f aca="false">IFERROR(ADDRESS(MATCH(AJ16, $A$5:$A$180, 0) + 4, COLUMN(A12)), "Not Found")</f>
        <v>$A$16</v>
      </c>
    </row>
    <row r="17" customFormat="false" ht="17.35" hidden="false" customHeight="false" outlineLevel="0" collapsed="false">
      <c r="A17" s="8" t="s">
        <v>38</v>
      </c>
      <c r="B17" s="16" t="b">
        <f aca="false">AND(D17=TRUE(),E17=TRUE())</f>
        <v>0</v>
      </c>
      <c r="C17" s="17" t="s">
        <v>230</v>
      </c>
      <c r="D17" s="16" t="b">
        <f aca="false">AND(INDEX(C:C, MATCH("In Aid of the Myreque", AJ:AJ, 0)) = "Y")</f>
        <v>0</v>
      </c>
      <c r="E17" s="16" t="b">
        <f aca="false">SUMPRODUCT((F17:AD17 &lt;&gt; "") * (F17:AD17 &lt; F$2:AD$2)) = 7</f>
        <v>1</v>
      </c>
      <c r="F17" s="18" t="n">
        <v>26</v>
      </c>
      <c r="G17" s="18"/>
      <c r="H17" s="18" t="n">
        <v>5</v>
      </c>
      <c r="I17" s="18"/>
      <c r="J17" s="18" t="n">
        <v>32</v>
      </c>
      <c r="K17" s="18"/>
      <c r="L17" s="18"/>
      <c r="M17" s="18"/>
      <c r="N17" s="18"/>
      <c r="O17" s="18"/>
      <c r="P17" s="18"/>
      <c r="Q17" s="18"/>
      <c r="R17" s="18" t="n">
        <v>33</v>
      </c>
      <c r="S17" s="18" t="n">
        <v>20</v>
      </c>
      <c r="T17" s="18"/>
      <c r="U17" s="18"/>
      <c r="V17" s="18"/>
      <c r="W17" s="19"/>
      <c r="X17" s="18"/>
      <c r="Y17" s="18"/>
      <c r="Z17" s="18" t="n">
        <v>40</v>
      </c>
      <c r="AA17" s="18" t="n">
        <v>22</v>
      </c>
      <c r="AB17" s="18"/>
      <c r="AC17" s="18"/>
      <c r="AD17" s="18"/>
      <c r="AE17" s="7" t="n">
        <f aca="false">SUMPRODUCT((F17:AA17 - $F$2:$AA$2) * ((F17:AA17 - $F$2:$AA$2) &gt; 0))</f>
        <v>0</v>
      </c>
      <c r="AF17" s="7"/>
      <c r="AG17" s="7"/>
      <c r="AH17" s="7"/>
      <c r="AI17" s="20"/>
      <c r="AJ17" s="8" t="s">
        <v>38</v>
      </c>
      <c r="AK17" s="21" t="str">
        <f aca="false">IFERROR(ADDRESS(MATCH(AJ17, $A$5:$A$180, 0) + 4, COLUMN(A13)), "Not Found")</f>
        <v>$A$17</v>
      </c>
    </row>
    <row r="18" customFormat="false" ht="17.35" hidden="false" customHeight="false" outlineLevel="0" collapsed="false">
      <c r="A18" s="8" t="s">
        <v>39</v>
      </c>
      <c r="B18" s="16" t="b">
        <f aca="false">AND(D18=TRUE(),E18=TRUE())</f>
        <v>1</v>
      </c>
      <c r="C18" s="17" t="s">
        <v>229</v>
      </c>
      <c r="D18" s="16" t="b">
        <f aca="false">TRUE()</f>
        <v>1</v>
      </c>
      <c r="E18" s="16" t="b">
        <f aca="false">SUMPRODUCT((F18:AD18 &lt;&gt; "") * (F18:AD18 &lt; F$2:AD$2)) = 0</f>
        <v>1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9"/>
      <c r="X18" s="18"/>
      <c r="Y18" s="18"/>
      <c r="Z18" s="18"/>
      <c r="AA18" s="18"/>
      <c r="AB18" s="18"/>
      <c r="AC18" s="18"/>
      <c r="AD18" s="18"/>
      <c r="AE18" s="7" t="n">
        <f aca="false">SUMPRODUCT((F18:AA18 - $F$2:$AA$2) * ((F18:AA18 - $F$2:$AA$2) &gt; 0))</f>
        <v>0</v>
      </c>
      <c r="AF18" s="7"/>
      <c r="AG18" s="7"/>
      <c r="AH18" s="7"/>
      <c r="AI18" s="20"/>
      <c r="AJ18" s="8" t="s">
        <v>39</v>
      </c>
      <c r="AK18" s="21" t="str">
        <f aca="false">IFERROR(ADDRESS(MATCH(AJ18, $A$5:$A$180, 0) + 4, COLUMN(A14)), "Not Found")</f>
        <v>$A$18</v>
      </c>
    </row>
    <row r="19" customFormat="false" ht="17.35" hidden="false" customHeight="false" outlineLevel="0" collapsed="false">
      <c r="A19" s="8" t="s">
        <v>40</v>
      </c>
      <c r="B19" s="16" t="b">
        <f aca="false">AND(D19=TRUE(),E19=TRUE())</f>
        <v>0</v>
      </c>
      <c r="C19" s="17" t="s">
        <v>230</v>
      </c>
      <c r="D19" s="16" t="b">
        <f aca="false">AND(INDEX(C:C, MATCH("Lost Tribe, The" , AJ:AJ, 0)) = "Y")</f>
        <v>0</v>
      </c>
      <c r="E19" s="16" t="b">
        <f aca="false">SUMPRODUCT((F19:AD19 &lt;&gt; "") * (F19:AD19 &lt; F$2:AD$2)) = 2</f>
        <v>1</v>
      </c>
      <c r="F19" s="18" t="n">
        <v>23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18"/>
      <c r="Y19" s="18"/>
      <c r="Z19" s="18"/>
      <c r="AA19" s="18" t="n">
        <v>23</v>
      </c>
      <c r="AB19" s="18"/>
      <c r="AC19" s="18"/>
      <c r="AD19" s="18"/>
      <c r="AE19" s="7" t="n">
        <f aca="false">SUMPRODUCT((F19:AA19 - $F$2:$AA$2) * ((F19:AA19 - $F$2:$AA$2) &gt; 0))</f>
        <v>0</v>
      </c>
      <c r="AF19" s="7"/>
      <c r="AG19" s="7"/>
      <c r="AH19" s="7"/>
      <c r="AI19" s="20"/>
      <c r="AJ19" s="8" t="s">
        <v>40</v>
      </c>
      <c r="AK19" s="21" t="str">
        <f aca="false">IFERROR(ADDRESS(MATCH(AJ19, $A$5:$A$180, 0) + 4, COLUMN(A15)), "Not Found")</f>
        <v>$A$19</v>
      </c>
    </row>
    <row r="20" customFormat="false" ht="17.35" hidden="false" customHeight="false" outlineLevel="0" collapsed="false">
      <c r="A20" s="8" t="s">
        <v>41</v>
      </c>
      <c r="B20" s="16" t="b">
        <f aca="false">AND(D20=TRUE(),E20=TRUE())</f>
        <v>1</v>
      </c>
      <c r="C20" s="17" t="s">
        <v>229</v>
      </c>
      <c r="D20" s="16" t="b">
        <f aca="false">TRUE()</f>
        <v>1</v>
      </c>
      <c r="E20" s="16" t="b">
        <f aca="false">SUMPRODUCT((F20:AD20 &lt;&gt; "") * (F20:AD20 &lt; F$2:AD$2)) = 0</f>
        <v>1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18"/>
      <c r="Y20" s="18"/>
      <c r="Z20" s="18"/>
      <c r="AA20" s="18"/>
      <c r="AB20" s="18"/>
      <c r="AC20" s="18"/>
      <c r="AD20" s="18"/>
      <c r="AE20" s="7" t="n">
        <f aca="false">SUMPRODUCT((F20:AA20 - $F$2:$AA$2) * ((F20:AA20 - $F$2:$AA$2) &gt; 0))</f>
        <v>0</v>
      </c>
      <c r="AF20" s="7"/>
      <c r="AG20" s="7"/>
      <c r="AH20" s="7"/>
      <c r="AI20" s="20"/>
      <c r="AJ20" s="8" t="s">
        <v>41</v>
      </c>
      <c r="AK20" s="21" t="str">
        <f aca="false">IFERROR(ADDRESS(MATCH(AJ20, $A$5:$A$180, 0) + 4, COLUMN(A16)), "Not Found")</f>
        <v>$A$20</v>
      </c>
    </row>
    <row r="21" customFormat="false" ht="17.35" hidden="false" customHeight="false" outlineLevel="0" collapsed="false">
      <c r="A21" s="8" t="s">
        <v>42</v>
      </c>
      <c r="B21" s="16" t="b">
        <f aca="false">AND(D21=TRUE(),E21=TRUE())</f>
        <v>1</v>
      </c>
      <c r="C21" s="17" t="s">
        <v>229</v>
      </c>
      <c r="D21" s="16" t="b">
        <f aca="false">TRUE()</f>
        <v>1</v>
      </c>
      <c r="E21" s="16" t="n">
        <f aca="false">SUMPRODUCT((F21:AD21 &lt;&gt; "") * (F21:AD21 &lt; F$2:AD$2)) = 4</f>
        <v>1</v>
      </c>
      <c r="F21" s="18"/>
      <c r="G21" s="18"/>
      <c r="H21" s="18"/>
      <c r="I21" s="18"/>
      <c r="J21" s="18"/>
      <c r="K21" s="18"/>
      <c r="L21" s="18"/>
      <c r="M21" s="18" t="n">
        <v>50</v>
      </c>
      <c r="N21" s="18"/>
      <c r="O21" s="18"/>
      <c r="P21" s="18"/>
      <c r="Q21" s="18"/>
      <c r="R21" s="18" t="n">
        <v>50</v>
      </c>
      <c r="S21" s="18"/>
      <c r="T21" s="18"/>
      <c r="U21" s="18"/>
      <c r="V21" s="18"/>
      <c r="W21" s="19"/>
      <c r="X21" s="18" t="n">
        <v>10</v>
      </c>
      <c r="Y21" s="18"/>
      <c r="Z21" s="18"/>
      <c r="AA21" s="18" t="n">
        <v>53</v>
      </c>
      <c r="AB21" s="18"/>
      <c r="AC21" s="18"/>
      <c r="AD21" s="18"/>
      <c r="AE21" s="7" t="n">
        <f aca="false">SUMPRODUCT((F21:AA21 - $F$2:$AA$2) * ((F21:AA21 - $F$2:$AA$2) &gt; 0))</f>
        <v>0</v>
      </c>
      <c r="AF21" s="7"/>
      <c r="AG21" s="7"/>
      <c r="AH21" s="7"/>
      <c r="AI21" s="20"/>
      <c r="AJ21" s="8" t="s">
        <v>42</v>
      </c>
      <c r="AK21" s="21" t="str">
        <f aca="false">IFERROR(ADDRESS(MATCH(AJ21, $A$5:$A$180, 0) + 4, COLUMN(A17)), "Not Found")</f>
        <v>$A$21</v>
      </c>
    </row>
    <row r="22" customFormat="false" ht="17.35" hidden="false" customHeight="false" outlineLevel="0" collapsed="false">
      <c r="A22" s="8" t="s">
        <v>43</v>
      </c>
      <c r="B22" s="16" t="b">
        <f aca="false">AND(D22=TRUE(),E22=TRUE())</f>
        <v>0</v>
      </c>
      <c r="C22" s="17" t="s">
        <v>230</v>
      </c>
      <c r="D22" s="16" t="b">
        <f aca="false">AND(INDEX(C:C, MATCH("Wanted!", AJ:AJ, 0)) = "Y",INDEX(C:C, MATCH("Troll Stronghold", AJ:AJ, 0)) = "Y",INDEX(C:C, MATCH("Doric's Quest", AJ:AJ, 0)) = "Y",INDEX(C:C, MATCH("Wanted!", AJ:AJ, 0)) = "Y",INDEX(C:C, MATCH("Recruitment Drive", AJ:AJ, 0)) = "Y")</f>
        <v>0</v>
      </c>
      <c r="E22" s="16" t="b">
        <f aca="false">SUMPRODUCT((F22:AD22 &lt;&gt; "") * (F22:AD22 &lt; F$2:AD$2)) = 3</f>
        <v>0</v>
      </c>
      <c r="F22" s="18"/>
      <c r="G22" s="18"/>
      <c r="H22" s="18"/>
      <c r="I22" s="18"/>
      <c r="J22" s="18"/>
      <c r="K22" s="18"/>
      <c r="L22" s="18"/>
      <c r="M22" s="18"/>
      <c r="N22" s="18"/>
      <c r="O22" s="18" t="n">
        <v>50</v>
      </c>
      <c r="P22" s="18"/>
      <c r="Q22" s="18"/>
      <c r="R22" s="18"/>
      <c r="S22" s="18"/>
      <c r="T22" s="18"/>
      <c r="U22" s="18"/>
      <c r="V22" s="18" t="n">
        <v>50</v>
      </c>
      <c r="W22" s="19"/>
      <c r="X22" s="18"/>
      <c r="Y22" s="18" t="n">
        <v>65</v>
      </c>
      <c r="Z22" s="18"/>
      <c r="AA22" s="18"/>
      <c r="AB22" s="18"/>
      <c r="AC22" s="18"/>
      <c r="AD22" s="18"/>
      <c r="AE22" s="7" t="n">
        <f aca="false">SUMPRODUCT((F22:AA22 - $F$2:$AA$2) * ((F22:AA22 - $F$2:$AA$2) &gt; 0))</f>
        <v>39</v>
      </c>
      <c r="AF22" s="7"/>
      <c r="AG22" s="7"/>
      <c r="AH22" s="7"/>
      <c r="AI22" s="20"/>
      <c r="AJ22" s="8" t="s">
        <v>43</v>
      </c>
      <c r="AK22" s="21" t="str">
        <f aca="false">IFERROR(ADDRESS(MATCH(AJ22, $A$5:$A$180, 0) + 4, COLUMN(A18)), "Not Found")</f>
        <v>$A$22</v>
      </c>
    </row>
    <row r="23" customFormat="false" ht="17.4" hidden="false" customHeight="false" outlineLevel="0" collapsed="false">
      <c r="A23" s="9" t="s">
        <v>231</v>
      </c>
      <c r="B23" s="16" t="b">
        <f aca="false">AND(D23=TRUE(),E23=TRUE())</f>
        <v>1</v>
      </c>
      <c r="C23" s="17" t="s">
        <v>229</v>
      </c>
      <c r="D23" s="16" t="b">
        <f aca="false">TRUE()</f>
        <v>1</v>
      </c>
      <c r="E23" s="16" t="b">
        <f aca="false">SUMPRODUCT((F23:AD23 &lt;&gt; "") * (F23:AD23 &lt; F$2:AD$2)) = 3</f>
        <v>1</v>
      </c>
      <c r="F23" s="18" t="n">
        <v>10</v>
      </c>
      <c r="G23" s="18"/>
      <c r="H23" s="18"/>
      <c r="I23" s="18"/>
      <c r="J23" s="18"/>
      <c r="K23" s="18"/>
      <c r="L23" s="18"/>
      <c r="M23" s="18"/>
      <c r="N23" s="18"/>
      <c r="O23" s="18"/>
      <c r="P23" s="18" t="n">
        <v>10</v>
      </c>
      <c r="Q23" s="18"/>
      <c r="R23" s="18"/>
      <c r="S23" s="18"/>
      <c r="T23" s="18"/>
      <c r="U23" s="18"/>
      <c r="V23" s="18"/>
      <c r="W23" s="19"/>
      <c r="X23" s="18"/>
      <c r="Y23" s="18"/>
      <c r="Z23" s="18"/>
      <c r="AA23" s="18" t="n">
        <v>25</v>
      </c>
      <c r="AB23" s="18"/>
      <c r="AC23" s="18"/>
      <c r="AD23" s="18"/>
      <c r="AE23" s="7" t="n">
        <f aca="false">SUMPRODUCT((F23:AA23 - $F$2:$AA$2) * ((F23:AA23 - $F$2:$AA$2) &gt; 0))</f>
        <v>0</v>
      </c>
      <c r="AF23" s="7"/>
      <c r="AG23" s="7"/>
      <c r="AH23" s="7"/>
      <c r="AI23" s="20"/>
      <c r="AJ23" s="9" t="s">
        <v>231</v>
      </c>
      <c r="AK23" s="21" t="str">
        <f aca="false">IFERROR(ADDRESS(MATCH(AJ23, $A$5:$A$180, 0) + 4, COLUMN(A19)), "Not Found")</f>
        <v>$A$23</v>
      </c>
    </row>
    <row r="24" customFormat="false" ht="17.35" hidden="false" customHeight="false" outlineLevel="0" collapsed="false">
      <c r="A24" s="8" t="s">
        <v>45</v>
      </c>
      <c r="B24" s="16" t="b">
        <f aca="false">AND(D24=TRUE(),E24=TRUE())</f>
        <v>1</v>
      </c>
      <c r="C24" s="17" t="s">
        <v>229</v>
      </c>
      <c r="D24" s="16" t="b">
        <f aca="false">TRUE()</f>
        <v>1</v>
      </c>
      <c r="E24" s="16" t="b">
        <f aca="false">SUMPRODUCT((F24:AD24 &lt;&gt; "") * (F24:AD24 &lt; F$2:AD$2)) = 1</f>
        <v>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n">
        <v>15</v>
      </c>
      <c r="T24" s="18"/>
      <c r="U24" s="18"/>
      <c r="V24" s="18"/>
      <c r="W24" s="19"/>
      <c r="X24" s="18"/>
      <c r="Y24" s="18"/>
      <c r="Z24" s="18"/>
      <c r="AA24" s="18"/>
      <c r="AB24" s="18"/>
      <c r="AC24" s="18"/>
      <c r="AD24" s="18"/>
      <c r="AE24" s="7" t="n">
        <f aca="false">SUMPRODUCT((F24:AA24 - $F$2:$AA$2) * ((F24:AA24 - $F$2:$AA$2) &gt; 0))</f>
        <v>0</v>
      </c>
      <c r="AF24" s="7"/>
      <c r="AG24" s="7"/>
      <c r="AH24" s="7"/>
      <c r="AI24" s="20"/>
      <c r="AJ24" s="8" t="s">
        <v>45</v>
      </c>
      <c r="AK24" s="21" t="str">
        <f aca="false">IFERROR(ADDRESS(MATCH(AJ24, $A$5:$A$180, 0) + 4, COLUMN(A20)), "Not Found")</f>
        <v>$A$24</v>
      </c>
    </row>
    <row r="25" customFormat="false" ht="17.35" hidden="false" customHeight="false" outlineLevel="0" collapsed="false">
      <c r="A25" s="8" t="s">
        <v>46</v>
      </c>
      <c r="B25" s="16" t="b">
        <f aca="false">AND(D25=TRUE(),E25=TRUE())</f>
        <v>1</v>
      </c>
      <c r="C25" s="17" t="s">
        <v>229</v>
      </c>
      <c r="D25" s="16" t="b">
        <f aca="false">TRUE()</f>
        <v>1</v>
      </c>
      <c r="E25" s="16" t="b">
        <f aca="false">SUMPRODUCT((F25:AD25 &lt;&gt; "") * (F25:AD25 &lt; F$2:AD$2)) = 2</f>
        <v>1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 t="n">
        <v>33</v>
      </c>
      <c r="S25" s="18"/>
      <c r="T25" s="18"/>
      <c r="U25" s="18"/>
      <c r="V25" s="18"/>
      <c r="W25" s="19"/>
      <c r="X25" s="18"/>
      <c r="Y25" s="18"/>
      <c r="Z25" s="18"/>
      <c r="AA25" s="18"/>
      <c r="AB25" s="18"/>
      <c r="AC25" s="18" t="n">
        <v>32</v>
      </c>
      <c r="AD25" s="18"/>
      <c r="AE25" s="7" t="n">
        <f aca="false">SUMPRODUCT((F25:AA25 - $F$2:$AA$2) * ((F25:AA25 - $F$2:$AA$2) &gt; 0))</f>
        <v>0</v>
      </c>
      <c r="AF25" s="7"/>
      <c r="AG25" s="7"/>
      <c r="AH25" s="7"/>
      <c r="AI25" s="20"/>
      <c r="AJ25" s="8" t="s">
        <v>46</v>
      </c>
      <c r="AK25" s="21" t="str">
        <f aca="false">IFERROR(ADDRESS(MATCH(AJ25, $A$5:$A$180, 0) + 4, COLUMN(A21)), "Not Found")</f>
        <v>$A$25</v>
      </c>
    </row>
    <row r="26" customFormat="false" ht="17.35" hidden="false" customHeight="false" outlineLevel="0" collapsed="false">
      <c r="A26" s="8" t="s">
        <v>47</v>
      </c>
      <c r="B26" s="16" t="b">
        <f aca="false">AND(D26=TRUE(),E26=TRUE())</f>
        <v>0</v>
      </c>
      <c r="C26" s="17" t="s">
        <v>230</v>
      </c>
      <c r="D26" s="16" t="b">
        <f aca="false">AND(INDEX(C:C, MATCH("Lunar Diplomacy", AJ:AJ, 0)) = "Y",INDEX(C:C, MATCH("Eadgar's Ruse", AJ:AJ, 0)) = "Y")</f>
        <v>0</v>
      </c>
      <c r="E26" s="16" t="b">
        <f aca="false">SUMPRODUCT((F26:AD26 &lt;&gt; "") * (F26:AD26 &lt; F$2:AD$2)) = 1</f>
        <v>1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9"/>
      <c r="X26" s="18"/>
      <c r="Y26" s="18"/>
      <c r="Z26" s="18"/>
      <c r="AA26" s="18"/>
      <c r="AB26" s="18"/>
      <c r="AC26" s="18"/>
      <c r="AD26" s="18" t="n">
        <v>85</v>
      </c>
      <c r="AE26" s="7" t="n">
        <f aca="false">SUMPRODUCT((F26:AA26 - $F$2:$AA$2) * ((F26:AA26 - $F$2:$AA$2) &gt; 0))</f>
        <v>0</v>
      </c>
      <c r="AF26" s="7"/>
      <c r="AG26" s="7"/>
      <c r="AH26" s="7"/>
      <c r="AI26" s="20"/>
      <c r="AJ26" s="8" t="s">
        <v>47</v>
      </c>
      <c r="AK26" s="21" t="str">
        <f aca="false">IFERROR(ADDRESS(MATCH(AJ26, $A$5:$A$180, 0) + 4, COLUMN(A22)), "Not Found")</f>
        <v>$A$26</v>
      </c>
    </row>
    <row r="27" customFormat="false" ht="17.35" hidden="false" customHeight="false" outlineLevel="0" collapsed="false">
      <c r="A27" s="8" t="s">
        <v>48</v>
      </c>
      <c r="B27" s="16" t="b">
        <f aca="false">AND(D27=TRUE(),E27=TRUE())</f>
        <v>1</v>
      </c>
      <c r="C27" s="17" t="s">
        <v>229</v>
      </c>
      <c r="D27" s="16" t="b">
        <f aca="false">TRUE()</f>
        <v>1</v>
      </c>
      <c r="E27" s="16" t="b">
        <f aca="false">SUMPRODUCT((F27:AD27 &lt;&gt; "") * (F27:AD27 &lt; F$2:AD$2)) = 0</f>
        <v>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9"/>
      <c r="X27" s="18"/>
      <c r="Y27" s="18"/>
      <c r="Z27" s="18"/>
      <c r="AA27" s="18"/>
      <c r="AB27" s="18"/>
      <c r="AC27" s="18"/>
      <c r="AD27" s="18"/>
      <c r="AE27" s="7" t="n">
        <f aca="false">SUMPRODUCT((F27:AA27 - $F$2:$AA$2) * ((F27:AA27 - $F$2:$AA$2) &gt; 0))</f>
        <v>0</v>
      </c>
      <c r="AF27" s="7"/>
      <c r="AG27" s="7"/>
      <c r="AH27" s="7"/>
      <c r="AI27" s="20"/>
      <c r="AJ27" s="8" t="s">
        <v>48</v>
      </c>
      <c r="AK27" s="21" t="str">
        <f aca="false">IFERROR(ADDRESS(MATCH(AJ27, $A$5:$A$180, 0) + 4, COLUMN(A23)), "Not Found")</f>
        <v>$A$27</v>
      </c>
    </row>
    <row r="28" customFormat="false" ht="17.35" hidden="false" customHeight="false" outlineLevel="0" collapsed="false">
      <c r="A28" s="8" t="s">
        <v>49</v>
      </c>
      <c r="B28" s="16" t="b">
        <f aca="false">AND(D28=TRUE(),E28=TRUE())</f>
        <v>1</v>
      </c>
      <c r="C28" s="17" t="s">
        <v>229</v>
      </c>
      <c r="D28" s="16" t="b">
        <f aca="false">TRUE()</f>
        <v>1</v>
      </c>
      <c r="E28" s="16" t="b">
        <f aca="false">SUMPRODUCT((F28:AD28 &lt;&gt; "") * (F28:AD28 &lt; F$2:AD$2)) = 1</f>
        <v>1</v>
      </c>
      <c r="F28" s="18" t="n">
        <v>20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9"/>
      <c r="X28" s="18"/>
      <c r="Y28" s="18"/>
      <c r="Z28" s="18"/>
      <c r="AA28" s="18"/>
      <c r="AB28" s="18"/>
      <c r="AC28" s="18"/>
      <c r="AD28" s="18"/>
      <c r="AE28" s="7" t="n">
        <f aca="false">SUMPRODUCT((F28:AA28 - $F$2:$AA$2) * ((F28:AA28 - $F$2:$AA$2) &gt; 0))</f>
        <v>0</v>
      </c>
      <c r="AF28" s="7"/>
      <c r="AG28" s="7"/>
      <c r="AH28" s="7"/>
      <c r="AI28" s="20"/>
      <c r="AJ28" s="8" t="s">
        <v>49</v>
      </c>
      <c r="AK28" s="21" t="str">
        <f aca="false">IFERROR(ADDRESS(MATCH(AJ28, $A$5:$A$180, 0) + 4, COLUMN(A24)), "Not Found")</f>
        <v>$A$28</v>
      </c>
    </row>
    <row r="29" customFormat="false" ht="17.35" hidden="false" customHeight="false" outlineLevel="0" collapsed="false">
      <c r="A29" s="8" t="s">
        <v>50</v>
      </c>
      <c r="B29" s="16" t="b">
        <f aca="false">AND(D29=TRUE(),E29=TRUE())</f>
        <v>1</v>
      </c>
      <c r="C29" s="17" t="s">
        <v>230</v>
      </c>
      <c r="D29" s="16" t="b">
        <f aca="false">AND(INDEX(C:C, MATCH("Druidic Ritual", AJ:AJ, 0)) = "Y",INDEX(C:C, MATCH("Troll Stronghold", AJ:AJ, 0)) = "Y")</f>
        <v>1</v>
      </c>
      <c r="E29" s="16" t="b">
        <f aca="false">SUMPRODUCT((F29:AD29 &lt;&gt; "") * (F29:AD29 &lt; F$2:AD$2)) = 2</f>
        <v>1</v>
      </c>
      <c r="F29" s="18" t="n">
        <v>43</v>
      </c>
      <c r="G29" s="18"/>
      <c r="H29" s="18"/>
      <c r="I29" s="18"/>
      <c r="J29" s="18"/>
      <c r="K29" s="18"/>
      <c r="L29" s="18"/>
      <c r="M29" s="18"/>
      <c r="N29" s="18"/>
      <c r="O29" s="18"/>
      <c r="P29" s="18" t="n">
        <v>31</v>
      </c>
      <c r="Q29" s="18"/>
      <c r="R29" s="18"/>
      <c r="S29" s="18"/>
      <c r="T29" s="18"/>
      <c r="U29" s="18"/>
      <c r="V29" s="18"/>
      <c r="W29" s="19"/>
      <c r="X29" s="18"/>
      <c r="Y29" s="18"/>
      <c r="Z29" s="18"/>
      <c r="AA29" s="18"/>
      <c r="AB29" s="18"/>
      <c r="AC29" s="18"/>
      <c r="AD29" s="18"/>
      <c r="AE29" s="7" t="n">
        <f aca="false">SUMPRODUCT((F29:AA29 - $F$2:$AA$2) * ((F29:AA29 - $F$2:$AA$2) &gt; 0))</f>
        <v>0</v>
      </c>
      <c r="AF29" s="7"/>
      <c r="AG29" s="7"/>
      <c r="AH29" s="7"/>
      <c r="AI29" s="20"/>
      <c r="AJ29" s="8" t="s">
        <v>50</v>
      </c>
      <c r="AK29" s="21" t="str">
        <f aca="false">IFERROR(ADDRESS(MATCH(AJ29, $A$5:$A$180, 0) + 4, COLUMN(A25)), "Not Found")</f>
        <v>$A$29</v>
      </c>
    </row>
    <row r="30" customFormat="false" ht="17.35" hidden="false" customHeight="false" outlineLevel="0" collapsed="false">
      <c r="A30" s="8" t="s">
        <v>51</v>
      </c>
      <c r="B30" s="16" t="b">
        <f aca="false">AND(D30=TRUE(),E30=TRUE())</f>
        <v>1</v>
      </c>
      <c r="C30" s="17" t="s">
        <v>229</v>
      </c>
      <c r="D30" s="16" t="b">
        <f aca="false">TRUE()</f>
        <v>1</v>
      </c>
      <c r="E30" s="16" t="b">
        <f aca="false">SUMPRODUCT((F30:AD30 &lt;&gt; "") * (F30:AD30 &lt; F$2:AD$2)) = 1</f>
        <v>1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 t="n">
        <v>27</v>
      </c>
      <c r="R30" s="18"/>
      <c r="S30" s="18"/>
      <c r="T30" s="18"/>
      <c r="U30" s="18"/>
      <c r="V30" s="18"/>
      <c r="W30" s="19"/>
      <c r="X30" s="18"/>
      <c r="Y30" s="18"/>
      <c r="Z30" s="18"/>
      <c r="AA30" s="18"/>
      <c r="AB30" s="18"/>
      <c r="AC30" s="18"/>
      <c r="AD30" s="18"/>
      <c r="AE30" s="7" t="n">
        <f aca="false">SUMPRODUCT((F30:AA30 - $F$2:$AA$2) * ((F30:AA30 - $F$2:$AA$2) &gt; 0))</f>
        <v>0</v>
      </c>
      <c r="AF30" s="7"/>
      <c r="AG30" s="7"/>
      <c r="AH30" s="7"/>
      <c r="AI30" s="20"/>
      <c r="AJ30" s="8" t="s">
        <v>51</v>
      </c>
      <c r="AK30" s="21" t="str">
        <f aca="false">IFERROR(ADDRESS(MATCH(AJ30, $A$5:$A$180, 0) + 4, COLUMN(A26)), "Not Found")</f>
        <v>$A$30</v>
      </c>
    </row>
    <row r="31" customFormat="false" ht="17.35" hidden="false" customHeight="false" outlineLevel="0" collapsed="false">
      <c r="A31" s="8" t="s">
        <v>52</v>
      </c>
      <c r="B31" s="16" t="b">
        <f aca="false">AND(D31=TRUE(),E31=TRUE())</f>
        <v>1</v>
      </c>
      <c r="C31" s="23" t="s">
        <v>229</v>
      </c>
      <c r="D31" s="16" t="b">
        <f aca="false">TRUE()</f>
        <v>1</v>
      </c>
      <c r="E31" s="16" t="b">
        <f aca="false">SUMPRODUCT((F31:AD31 &lt;&gt; "") * (F31:AD31 &lt; F$2:AD$2)) = 3</f>
        <v>1</v>
      </c>
      <c r="F31" s="18"/>
      <c r="G31" s="18"/>
      <c r="H31" s="18"/>
      <c r="I31" s="18"/>
      <c r="J31" s="18" t="n">
        <v>20</v>
      </c>
      <c r="K31" s="18"/>
      <c r="L31" s="18"/>
      <c r="M31" s="18"/>
      <c r="N31" s="18"/>
      <c r="O31" s="18"/>
      <c r="P31" s="18"/>
      <c r="Q31" s="18"/>
      <c r="R31" s="18"/>
      <c r="S31" s="18" t="n">
        <v>20</v>
      </c>
      <c r="T31" s="18"/>
      <c r="U31" s="18"/>
      <c r="V31" s="18"/>
      <c r="W31" s="19"/>
      <c r="X31" s="18"/>
      <c r="Y31" s="18" t="n">
        <v>20</v>
      </c>
      <c r="Z31" s="18"/>
      <c r="AA31" s="18"/>
      <c r="AB31" s="18"/>
      <c r="AC31" s="18"/>
      <c r="AD31" s="18"/>
      <c r="AE31" s="7" t="n">
        <f aca="false">SUMPRODUCT((F31:AA31 - $F$2:$AA$2) * ((F31:AA31 - $F$2:$AA$2) &gt; 0))</f>
        <v>0</v>
      </c>
      <c r="AF31" s="7"/>
      <c r="AG31" s="7"/>
      <c r="AH31" s="7"/>
      <c r="AI31" s="20"/>
      <c r="AJ31" s="8" t="s">
        <v>52</v>
      </c>
      <c r="AK31" s="21" t="str">
        <f aca="false">IFERROR(ADDRESS(MATCH(AJ31, $A$5:$A$180, 0) + 4, COLUMN(A27)), "Not Found")</f>
        <v>$A$31</v>
      </c>
    </row>
    <row r="32" customFormat="false" ht="17.35" hidden="false" customHeight="false" outlineLevel="0" collapsed="false">
      <c r="A32" s="8" t="s">
        <v>53</v>
      </c>
      <c r="B32" s="16" t="b">
        <f aca="false">AND(D32=TRUE(),E32=TRUE())</f>
        <v>1</v>
      </c>
      <c r="C32" s="17" t="s">
        <v>229</v>
      </c>
      <c r="D32" s="16" t="b">
        <f aca="false">AND(INDEX(C:C, MATCH("Elemental Workshop I", AJ:AJ, 0)) = "Y")</f>
        <v>1</v>
      </c>
      <c r="E32" s="16" t="b">
        <f aca="false">SUMPRODUCT((F32:AD32 &lt;&gt; "") * (F32:AD32 &lt; F$2:AD$2)) = 2</f>
        <v>1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 t="n">
        <v>20</v>
      </c>
      <c r="S32" s="18"/>
      <c r="T32" s="18"/>
      <c r="U32" s="18"/>
      <c r="V32" s="18"/>
      <c r="W32" s="19"/>
      <c r="X32" s="18"/>
      <c r="Y32" s="18" t="n">
        <v>30</v>
      </c>
      <c r="Z32" s="18"/>
      <c r="AA32" s="18"/>
      <c r="AB32" s="18"/>
      <c r="AC32" s="18"/>
      <c r="AD32" s="18"/>
      <c r="AE32" s="7" t="n">
        <f aca="false">SUMPRODUCT((F32:AA32 - $F$2:$AA$2) * ((F32:AA32 - $F$2:$AA$2) &gt; 0))</f>
        <v>0</v>
      </c>
      <c r="AF32" s="7"/>
      <c r="AG32" s="7"/>
      <c r="AH32" s="7"/>
      <c r="AI32" s="20"/>
      <c r="AJ32" s="8" t="s">
        <v>53</v>
      </c>
      <c r="AK32" s="21" t="str">
        <f aca="false">IFERROR(ADDRESS(MATCH(AJ32, $A$5:$A$180, 0) + 4, COLUMN(A28)), "Not Found")</f>
        <v>$A$32</v>
      </c>
    </row>
    <row r="33" customFormat="false" ht="17.35" hidden="false" customHeight="false" outlineLevel="0" collapsed="false">
      <c r="A33" s="8" t="s">
        <v>54</v>
      </c>
      <c r="B33" s="16" t="b">
        <f aca="false">AND(D33=TRUE(),E33=TRUE())</f>
        <v>1</v>
      </c>
      <c r="C33" s="17" t="s">
        <v>230</v>
      </c>
      <c r="D33" s="16" t="b">
        <f aca="false">TRUE()</f>
        <v>1</v>
      </c>
      <c r="E33" s="16" t="b">
        <f aca="false">SUMPRODUCT((F33:AD33 &lt;&gt; "") * (F33:AD33 &lt;= F$2:AD$2)) = 4</f>
        <v>1</v>
      </c>
      <c r="F33" s="18"/>
      <c r="G33" s="18"/>
      <c r="H33" s="18"/>
      <c r="I33" s="18"/>
      <c r="J33" s="18" t="n">
        <v>50</v>
      </c>
      <c r="K33" s="18"/>
      <c r="L33" s="18"/>
      <c r="M33" s="18" t="n">
        <v>45</v>
      </c>
      <c r="N33" s="18"/>
      <c r="O33" s="18"/>
      <c r="P33" s="18"/>
      <c r="Q33" s="18"/>
      <c r="R33" s="18" t="n">
        <v>39</v>
      </c>
      <c r="S33" s="18"/>
      <c r="T33" s="18" t="n">
        <v>43</v>
      </c>
      <c r="U33" s="18"/>
      <c r="V33" s="18"/>
      <c r="W33" s="19"/>
      <c r="X33" s="18"/>
      <c r="Y33" s="18"/>
      <c r="Z33" s="18"/>
      <c r="AA33" s="18"/>
      <c r="AB33" s="18"/>
      <c r="AC33" s="18"/>
      <c r="AD33" s="18"/>
      <c r="AE33" s="7" t="n">
        <f aca="false">SUMPRODUCT((F33:AA33 - $F$2:$AA$2) * ((F33:AA33 - $F$2:$AA$2) &gt; 0))</f>
        <v>0</v>
      </c>
      <c r="AF33" s="7"/>
      <c r="AG33" s="7"/>
      <c r="AH33" s="7"/>
      <c r="AI33" s="20"/>
      <c r="AJ33" s="8" t="s">
        <v>54</v>
      </c>
      <c r="AK33" s="21" t="str">
        <f aca="false">IFERROR(ADDRESS(MATCH(AJ33, $A$5:$A$180, 0) + 4, COLUMN(A29)), "Not Found")</f>
        <v>$A$33</v>
      </c>
    </row>
    <row r="34" customFormat="false" ht="17.35" hidden="false" customHeight="false" outlineLevel="0" collapsed="false">
      <c r="A34" s="8" t="s">
        <v>55</v>
      </c>
      <c r="B34" s="16" t="b">
        <f aca="false">AND(D34=TRUE(),E34=TRUE())</f>
        <v>1</v>
      </c>
      <c r="C34" s="23" t="s">
        <v>229</v>
      </c>
      <c r="D34" s="16" t="b">
        <f aca="false">TRUE()</f>
        <v>1</v>
      </c>
      <c r="E34" s="16" t="n">
        <f aca="false">SUMPRODUCT((F34:AD34 &lt;&gt; "") * (F34:AD34 &lt;= F$2:AD$2)) = 4</f>
        <v>1</v>
      </c>
      <c r="F34" s="18"/>
      <c r="G34" s="18"/>
      <c r="H34" s="18"/>
      <c r="I34" s="18"/>
      <c r="J34" s="18" t="n">
        <v>36</v>
      </c>
      <c r="K34" s="18"/>
      <c r="L34" s="18" t="n">
        <v>30</v>
      </c>
      <c r="M34" s="18" t="n">
        <v>20</v>
      </c>
      <c r="N34" s="18"/>
      <c r="O34" s="18"/>
      <c r="P34" s="18"/>
      <c r="Q34" s="18"/>
      <c r="R34" s="18"/>
      <c r="S34" s="18"/>
      <c r="T34" s="18"/>
      <c r="U34" s="18"/>
      <c r="V34" s="18"/>
      <c r="W34" s="19"/>
      <c r="X34" s="18"/>
      <c r="Y34" s="18"/>
      <c r="Z34" s="18"/>
      <c r="AA34" s="18"/>
      <c r="AB34" s="18"/>
      <c r="AC34" s="18" t="n">
        <v>20</v>
      </c>
      <c r="AD34" s="18"/>
      <c r="AE34" s="7" t="n">
        <f aca="false">SUMPRODUCT((F34:AA34 - $F$2:$AA$2) * ((F34:AA34 - $F$2:$AA$2) &gt; 0))</f>
        <v>0</v>
      </c>
      <c r="AF34" s="7"/>
      <c r="AG34" s="7"/>
      <c r="AH34" s="7"/>
      <c r="AI34" s="20"/>
      <c r="AJ34" s="8" t="s">
        <v>55</v>
      </c>
      <c r="AK34" s="21" t="str">
        <f aca="false">IFERROR(ADDRESS(MATCH(AJ34, $A$5:$A$180, 0) + 4, COLUMN(A30)), "Not Found")</f>
        <v>$A$34</v>
      </c>
    </row>
    <row r="35" customFormat="false" ht="17.35" hidden="false" customHeight="false" outlineLevel="0" collapsed="false">
      <c r="A35" s="8" t="s">
        <v>56</v>
      </c>
      <c r="B35" s="16" t="b">
        <f aca="false">AND(D35=TRUE(),E35=TRUE())</f>
        <v>1</v>
      </c>
      <c r="C35" s="17" t="s">
        <v>229</v>
      </c>
      <c r="D35" s="16" t="b">
        <f aca="false">TRUE()</f>
        <v>1</v>
      </c>
      <c r="E35" s="16" t="b">
        <f aca="false">SUMPRODUCT((F35:AD35 &lt;&gt; "") * (F35:AD35 &lt;= F$2:AD$2)) = 0</f>
        <v>1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9"/>
      <c r="X35" s="18"/>
      <c r="Y35" s="18"/>
      <c r="Z35" s="18"/>
      <c r="AA35" s="18"/>
      <c r="AB35" s="18"/>
      <c r="AC35" s="18"/>
      <c r="AD35" s="18"/>
      <c r="AE35" s="7" t="n">
        <f aca="false">SUMPRODUCT((F35:AA35 - $F$2:$AA$2) * ((F35:AA35 - $F$2:$AA$2) &gt; 0))</f>
        <v>0</v>
      </c>
      <c r="AF35" s="7"/>
      <c r="AG35" s="7"/>
      <c r="AH35" s="7"/>
      <c r="AI35" s="20"/>
      <c r="AJ35" s="8" t="s">
        <v>56</v>
      </c>
      <c r="AK35" s="21" t="str">
        <f aca="false">IFERROR(ADDRESS(MATCH(AJ35, $A$5:$A$180, 0) + 4, COLUMN(A31)), "Not Found")</f>
        <v>$A$35</v>
      </c>
    </row>
    <row r="36" customFormat="false" ht="17.35" hidden="false" customHeight="false" outlineLevel="0" collapsed="false">
      <c r="A36" s="8" t="s">
        <v>232</v>
      </c>
      <c r="B36" s="16" t="b">
        <f aca="false">AND(D36=TRUE(),E36=TRUE())</f>
        <v>1</v>
      </c>
      <c r="C36" s="17" t="s">
        <v>230</v>
      </c>
      <c r="D36" s="16" t="b">
        <f aca="false">AND(INDEX(C:C, MATCH("Grand Tree, The", AJ:AJ, 0)) = "Y")</f>
        <v>1</v>
      </c>
      <c r="E36" s="16" t="b">
        <f aca="false">SUMPRODUCT((F36:AD36 &lt;&gt; "") * (F36:AD36 &lt;= F$2:AD$2)) = 2</f>
        <v>1</v>
      </c>
      <c r="F36" s="18"/>
      <c r="G36" s="18"/>
      <c r="H36" s="18" t="n">
        <v>5</v>
      </c>
      <c r="I36" s="18"/>
      <c r="J36" s="18"/>
      <c r="K36" s="18"/>
      <c r="L36" s="18"/>
      <c r="M36" s="18"/>
      <c r="N36" s="18"/>
      <c r="O36" s="18"/>
      <c r="P36" s="18"/>
      <c r="Q36" s="18"/>
      <c r="R36" s="18" t="n">
        <v>46</v>
      </c>
      <c r="S36" s="18"/>
      <c r="T36" s="18"/>
      <c r="U36" s="18"/>
      <c r="V36" s="18"/>
      <c r="W36" s="19"/>
      <c r="X36" s="18"/>
      <c r="Y36" s="18"/>
      <c r="Z36" s="18"/>
      <c r="AA36" s="18"/>
      <c r="AB36" s="18"/>
      <c r="AC36" s="18"/>
      <c r="AD36" s="18"/>
      <c r="AE36" s="7" t="n">
        <f aca="false">SUMPRODUCT((F36:AA36 - $F$2:$AA$2) * ((F36:AA36 - $F$2:$AA$2) &gt; 0))</f>
        <v>0</v>
      </c>
      <c r="AF36" s="7"/>
      <c r="AG36" s="7"/>
      <c r="AH36" s="7"/>
      <c r="AI36" s="20"/>
      <c r="AJ36" s="8" t="s">
        <v>232</v>
      </c>
      <c r="AK36" s="21" t="str">
        <f aca="false">IFERROR(ADDRESS(MATCH(AJ36, $A$5:$A$180, 0) + 4, COLUMN(A32)), "Not Found")</f>
        <v>$A$36</v>
      </c>
    </row>
    <row r="37" customFormat="false" ht="17.35" hidden="false" customHeight="false" outlineLevel="0" collapsed="false">
      <c r="A37" s="8" t="s">
        <v>58</v>
      </c>
      <c r="B37" s="16" t="b">
        <f aca="false">AND(D37=TRUE(),E37=TRUE())</f>
        <v>1</v>
      </c>
      <c r="C37" s="17" t="s">
        <v>229</v>
      </c>
      <c r="D37" s="16" t="b">
        <f aca="false">AND(INDEX(C:C, MATCH("Lost City", AJ:AJ, 0)) = "Y",INDEX(C:C, MATCH("Nature Spirit", AJ:AJ, 0)) = "Y")</f>
        <v>1</v>
      </c>
      <c r="E37" s="16" t="b">
        <f aca="false">SUMPRODUCT((F37:AD37 &lt;&gt; "") * (F37:AD37 &lt;= F$2:AD$2)) = 0</f>
        <v>1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9"/>
      <c r="X37" s="18"/>
      <c r="Y37" s="18"/>
      <c r="Z37" s="18"/>
      <c r="AA37" s="18"/>
      <c r="AB37" s="18"/>
      <c r="AC37" s="18"/>
      <c r="AD37" s="18"/>
      <c r="AE37" s="7" t="n">
        <f aca="false">SUMPRODUCT((F37:AA37 - $F$2:$AA$2) * ((F37:AA37 - $F$2:$AA$2) &gt; 0))</f>
        <v>0</v>
      </c>
      <c r="AF37" s="7"/>
      <c r="AG37" s="7"/>
      <c r="AH37" s="7"/>
      <c r="AI37" s="20"/>
      <c r="AJ37" s="8" t="s">
        <v>58</v>
      </c>
      <c r="AK37" s="21" t="str">
        <f aca="false">IFERROR(ADDRESS(MATCH(AJ37, $A$5:$A$180, 0) + 4, COLUMN(A33)), "Not Found")</f>
        <v>$A$37</v>
      </c>
    </row>
    <row r="38" customFormat="false" ht="17.35" hidden="false" customHeight="false" outlineLevel="0" collapsed="false">
      <c r="A38" s="8" t="s">
        <v>59</v>
      </c>
      <c r="B38" s="16" t="b">
        <f aca="false">AND(D38=TRUE(),E38=TRUE())</f>
        <v>0</v>
      </c>
      <c r="C38" s="23" t="s">
        <v>230</v>
      </c>
      <c r="D38" s="16" t="b">
        <f aca="false">AND(INDEX(C:C, MATCH("Fairytale I", AJ:AJ, 0)) = "Y")</f>
        <v>1</v>
      </c>
      <c r="E38" s="16" t="b">
        <f aca="false">SUMPRODUCT((F38:AD38 &lt;&gt; "") * (F38:AD38 &lt;= F$2:AD$2)) = 3</f>
        <v>0</v>
      </c>
      <c r="F38" s="18"/>
      <c r="G38" s="18"/>
      <c r="H38" s="18"/>
      <c r="I38" s="18"/>
      <c r="J38" s="18"/>
      <c r="K38" s="18"/>
      <c r="L38" s="18" t="n">
        <v>49</v>
      </c>
      <c r="M38" s="18"/>
      <c r="N38" s="18"/>
      <c r="O38" s="18"/>
      <c r="P38" s="18" t="n">
        <v>57</v>
      </c>
      <c r="Q38" s="18"/>
      <c r="R38" s="18"/>
      <c r="S38" s="18"/>
      <c r="T38" s="18"/>
      <c r="U38" s="18"/>
      <c r="V38" s="18"/>
      <c r="W38" s="19"/>
      <c r="X38" s="18"/>
      <c r="Y38" s="18"/>
      <c r="Z38" s="18"/>
      <c r="AA38" s="18" t="n">
        <v>40</v>
      </c>
      <c r="AB38" s="18"/>
      <c r="AC38" s="18"/>
      <c r="AD38" s="18"/>
      <c r="AE38" s="7" t="n">
        <f aca="false">SUMPRODUCT((F38:AA38 - $F$2:$AA$2) * ((F38:AA38 - $F$2:$AA$2) &gt; 0))</f>
        <v>3</v>
      </c>
      <c r="AF38" s="7"/>
      <c r="AG38" s="7"/>
      <c r="AH38" s="7"/>
      <c r="AI38" s="20"/>
      <c r="AJ38" s="8" t="s">
        <v>59</v>
      </c>
      <c r="AK38" s="21" t="str">
        <f aca="false">IFERROR(ADDRESS(MATCH(AJ38, $A$5:$A$180, 0) + 4, COLUMN(A34)), "Not Found")</f>
        <v>$A$38</v>
      </c>
    </row>
    <row r="39" customFormat="false" ht="17.35" hidden="false" customHeight="false" outlineLevel="0" collapsed="false">
      <c r="A39" s="8" t="s">
        <v>60</v>
      </c>
      <c r="B39" s="16" t="b">
        <f aca="false">AND(D39=TRUE(),E39=TRUE())</f>
        <v>1</v>
      </c>
      <c r="C39" s="17" t="s">
        <v>229</v>
      </c>
      <c r="D39" s="16" t="b">
        <f aca="false">TRUE()</f>
        <v>1</v>
      </c>
      <c r="E39" s="16" t="n">
        <f aca="false">SUMPRODUCT((F39:AD39 &lt;&gt; "") * (F39:AD39 &lt;= F$2:AD$2)) = 4</f>
        <v>1</v>
      </c>
      <c r="F39" s="18"/>
      <c r="G39" s="18"/>
      <c r="H39" s="18"/>
      <c r="I39" s="18"/>
      <c r="J39" s="18" t="n">
        <v>40</v>
      </c>
      <c r="K39" s="18"/>
      <c r="L39" s="18"/>
      <c r="M39" s="18"/>
      <c r="N39" s="18"/>
      <c r="O39" s="18"/>
      <c r="P39" s="18"/>
      <c r="Q39" s="18"/>
      <c r="R39" s="18" t="n">
        <v>59</v>
      </c>
      <c r="S39" s="18" t="n">
        <v>40</v>
      </c>
      <c r="T39" s="18"/>
      <c r="U39" s="18"/>
      <c r="V39" s="18"/>
      <c r="W39" s="19"/>
      <c r="X39" s="18"/>
      <c r="Y39" s="18" t="n">
        <v>40</v>
      </c>
      <c r="Z39" s="18"/>
      <c r="AA39" s="18"/>
      <c r="AB39" s="18"/>
      <c r="AC39" s="18"/>
      <c r="AD39" s="18"/>
      <c r="AE39" s="7" t="n">
        <f aca="false">SUMPRODUCT((F39:AA39 - $F$2:$AA$2) * ((F39:AA39 - $F$2:$AA$2) &gt; 0))</f>
        <v>0</v>
      </c>
      <c r="AF39" s="7"/>
      <c r="AG39" s="7"/>
      <c r="AH39" s="7"/>
      <c r="AI39" s="20"/>
      <c r="AJ39" s="8" t="s">
        <v>60</v>
      </c>
      <c r="AK39" s="21" t="str">
        <f aca="false">IFERROR(ADDRESS(MATCH(AJ39, $A$5:$A$180, 0) + 4, COLUMN(A35)), "Not Found")</f>
        <v>$A$39</v>
      </c>
    </row>
    <row r="40" customFormat="false" ht="17.4" hidden="false" customHeight="false" outlineLevel="0" collapsed="false">
      <c r="A40" s="9" t="s">
        <v>233</v>
      </c>
      <c r="B40" s="16" t="b">
        <f aca="false">AND(D40=TRUE(),E40=TRUE())</f>
        <v>1</v>
      </c>
      <c r="C40" s="17" t="s">
        <v>229</v>
      </c>
      <c r="D40" s="16" t="b">
        <f aca="false">TRUE()</f>
        <v>1</v>
      </c>
      <c r="E40" s="16" t="b">
        <f aca="false">SUMPRODUCT((F40:AD40 &lt;&gt; "") * (F40:AD40 &lt;= F$2:AD$2)) = 1</f>
        <v>1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9"/>
      <c r="X40" s="18"/>
      <c r="Y40" s="18"/>
      <c r="Z40" s="18"/>
      <c r="AA40" s="18" t="n">
        <v>30</v>
      </c>
      <c r="AB40" s="18"/>
      <c r="AC40" s="18"/>
      <c r="AD40" s="18"/>
      <c r="AE40" s="7" t="n">
        <f aca="false">SUMPRODUCT((F40:AA40 - $F$2:$AA$2) * ((F40:AA40 - $F$2:$AA$2) &gt; 0))</f>
        <v>0</v>
      </c>
      <c r="AF40" s="7"/>
      <c r="AG40" s="7"/>
      <c r="AH40" s="7"/>
      <c r="AI40" s="20"/>
      <c r="AJ40" s="9" t="s">
        <v>233</v>
      </c>
      <c r="AK40" s="21" t="str">
        <f aca="false">IFERROR(ADDRESS(MATCH(AJ40, $A$5:$A$180, 0) + 4, COLUMN(A36)), "Not Found")</f>
        <v>$A$40</v>
      </c>
    </row>
    <row r="41" customFormat="false" ht="17.35" hidden="false" customHeight="false" outlineLevel="0" collapsed="false">
      <c r="A41" s="8" t="s">
        <v>62</v>
      </c>
      <c r="B41" s="16" t="b">
        <f aca="false">AND(D41=TRUE(),E41=TRUE())</f>
        <v>1</v>
      </c>
      <c r="C41" s="17" t="s">
        <v>229</v>
      </c>
      <c r="D41" s="16" t="b">
        <f aca="false">TRUE()</f>
        <v>1</v>
      </c>
      <c r="E41" s="16" t="b">
        <f aca="false">SUMPRODUCT((F41:AD41 &lt;&gt; "") * (F41:AD41 &lt;= F$2:AD$2)) = 0</f>
        <v>1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9"/>
      <c r="X41" s="18"/>
      <c r="Y41" s="18"/>
      <c r="Z41" s="18"/>
      <c r="AA41" s="18"/>
      <c r="AB41" s="18"/>
      <c r="AC41" s="24"/>
      <c r="AD41" s="18"/>
      <c r="AE41" s="7" t="n">
        <f aca="false">SUMPRODUCT((F41:AA41 - $F$2:$AA$2) * ((F41:AA41 - $F$2:$AA$2) &gt; 0))</f>
        <v>0</v>
      </c>
      <c r="AF41" s="7"/>
      <c r="AG41" s="7"/>
      <c r="AH41" s="7"/>
      <c r="AI41" s="20"/>
      <c r="AJ41" s="8" t="s">
        <v>62</v>
      </c>
      <c r="AK41" s="21" t="str">
        <f aca="false">IFERROR(ADDRESS(MATCH(AJ41, $A$5:$A$180, 0) + 4, COLUMN(A37)), "Not Found")</f>
        <v>$A$41</v>
      </c>
    </row>
    <row r="42" customFormat="false" ht="17.35" hidden="false" customHeight="false" outlineLevel="0" collapsed="false">
      <c r="A42" s="8" t="s">
        <v>63</v>
      </c>
      <c r="B42" s="16" t="b">
        <f aca="false">AND(D42=TRUE(),E42=TRUE())</f>
        <v>1</v>
      </c>
      <c r="C42" s="23" t="s">
        <v>229</v>
      </c>
      <c r="D42" s="16" t="b">
        <f aca="false">TRUE()</f>
        <v>1</v>
      </c>
      <c r="E42" s="16" t="b">
        <f aca="false">SUMPRODUCT((F42:AD42 &lt;&gt; "") * (F42:AD42 &lt;= F$2:AD$2)) = 1</f>
        <v>1</v>
      </c>
      <c r="F42" s="18"/>
      <c r="G42" s="18"/>
      <c r="H42" s="18"/>
      <c r="I42" s="18"/>
      <c r="J42" s="18"/>
      <c r="K42" s="18"/>
      <c r="L42" s="18"/>
      <c r="M42" s="18"/>
      <c r="N42" s="18" t="n">
        <v>10</v>
      </c>
      <c r="O42" s="18"/>
      <c r="P42" s="18"/>
      <c r="Q42" s="18"/>
      <c r="R42" s="18"/>
      <c r="S42" s="18"/>
      <c r="T42" s="18"/>
      <c r="U42" s="18"/>
      <c r="V42" s="18"/>
      <c r="W42" s="19"/>
      <c r="X42" s="18"/>
      <c r="Y42" s="18"/>
      <c r="Z42" s="18"/>
      <c r="AA42" s="18"/>
      <c r="AB42" s="18"/>
      <c r="AC42" s="18"/>
      <c r="AD42" s="18"/>
      <c r="AE42" s="7" t="n">
        <f aca="false">SUMPRODUCT((F42:AA42 - $F$2:$AA$2) * ((F42:AA42 - $F$2:$AA$2) &gt; 0))</f>
        <v>0</v>
      </c>
      <c r="AF42" s="7"/>
      <c r="AG42" s="7"/>
      <c r="AH42" s="7"/>
      <c r="AI42" s="20"/>
      <c r="AJ42" s="8" t="s">
        <v>63</v>
      </c>
      <c r="AK42" s="21" t="str">
        <f aca="false">IFERROR(ADDRESS(MATCH(AJ42, $A$5:$A$180, 0) + 4, COLUMN(A38)), "Not Found")</f>
        <v>$A$42</v>
      </c>
    </row>
    <row r="43" customFormat="false" ht="17.35" hidden="false" customHeight="false" outlineLevel="0" collapsed="false">
      <c r="A43" s="8" t="s">
        <v>64</v>
      </c>
      <c r="B43" s="16" t="b">
        <f aca="false">AND(D43=TRUE(),E43=TRUE())</f>
        <v>0</v>
      </c>
      <c r="C43" s="17" t="s">
        <v>230</v>
      </c>
      <c r="D43" s="16" t="b">
        <f aca="false">AND(INDEX(C:C, MATCH("Giant Dwarf, The", AJ:AJ, 0)) = "Y",INDEX(C:C, MATCH("Fishing Contest", AJ:AJ, 0)) = "Y")</f>
        <v>0</v>
      </c>
      <c r="E43" s="16" t="b">
        <f aca="false">SUMPRODUCT((F43:AD43 &lt;&gt; "") * (F43:AD43 &lt;= F$2:AD$2)) = 2</f>
        <v>1</v>
      </c>
      <c r="F43" s="18"/>
      <c r="G43" s="18"/>
      <c r="H43" s="18"/>
      <c r="I43" s="18" t="n">
        <v>22</v>
      </c>
      <c r="J43" s="18"/>
      <c r="K43" s="18"/>
      <c r="L43" s="18" t="n">
        <v>17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9"/>
      <c r="X43" s="18"/>
      <c r="Y43" s="18"/>
      <c r="Z43" s="18"/>
      <c r="AA43" s="18"/>
      <c r="AB43" s="18"/>
      <c r="AC43" s="18"/>
      <c r="AD43" s="18"/>
      <c r="AE43" s="7" t="n">
        <f aca="false">SUMPRODUCT((F43:AA43 - $F$2:$AA$2) * ((F43:AA43 - $F$2:$AA$2) &gt; 0))</f>
        <v>0</v>
      </c>
      <c r="AF43" s="7"/>
      <c r="AG43" s="7"/>
      <c r="AH43" s="7"/>
      <c r="AI43" s="20"/>
      <c r="AJ43" s="8" t="s">
        <v>64</v>
      </c>
      <c r="AK43" s="21" t="str">
        <f aca="false">IFERROR(ADDRESS(MATCH(AJ43, $A$5:$A$180, 0) + 4, COLUMN(A39)), "Not Found")</f>
        <v>$A$43</v>
      </c>
    </row>
    <row r="44" customFormat="false" ht="17.4" hidden="false" customHeight="false" outlineLevel="0" collapsed="false">
      <c r="A44" s="9" t="s">
        <v>234</v>
      </c>
      <c r="B44" s="16" t="b">
        <f aca="false">AND(D44=TRUE(),E44=TRUE())</f>
        <v>1</v>
      </c>
      <c r="C44" s="17" t="s">
        <v>230</v>
      </c>
      <c r="D44" s="16" t="b">
        <f aca="false">AND(INDEX(C:C, MATCH("Fremennik Trials, The", AJ:AJ, 0)) = "Y")</f>
        <v>1</v>
      </c>
      <c r="E44" s="16" t="n">
        <f aca="false">SUMPRODUCT((F44:AD44 &lt;&gt; "") * (F44:AD44 &lt;= F$2:AD$2)) = 4</f>
        <v>1</v>
      </c>
      <c r="F44" s="18" t="n">
        <v>40</v>
      </c>
      <c r="G44" s="18"/>
      <c r="H44" s="18" t="n">
        <v>20</v>
      </c>
      <c r="I44" s="18"/>
      <c r="J44" s="18" t="n">
        <v>46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9"/>
      <c r="X44" s="18"/>
      <c r="Y44" s="18"/>
      <c r="Z44" s="18"/>
      <c r="AA44" s="18"/>
      <c r="AB44" s="18" t="n">
        <v>56</v>
      </c>
      <c r="AC44" s="18"/>
      <c r="AD44" s="18"/>
      <c r="AE44" s="7" t="n">
        <f aca="false">SUMPRODUCT((F44:AA44 - $F$2:$AA$2) * ((F44:AA44 - $F$2:$AA$2) &gt; 0))</f>
        <v>0</v>
      </c>
      <c r="AF44" s="7"/>
      <c r="AG44" s="7"/>
      <c r="AH44" s="7"/>
      <c r="AI44" s="20"/>
      <c r="AJ44" s="9" t="s">
        <v>234</v>
      </c>
      <c r="AK44" s="21" t="str">
        <f aca="false">IFERROR(ADDRESS(MATCH(AJ44, $A$5:$A$180, 0) + 4, COLUMN(A40)), "Not Found")</f>
        <v>$A$44</v>
      </c>
    </row>
    <row r="45" customFormat="false" ht="17.4" hidden="false" customHeight="false" outlineLevel="0" collapsed="false">
      <c r="A45" s="9" t="s">
        <v>235</v>
      </c>
      <c r="B45" s="16" t="b">
        <f aca="false">TRUE()</f>
        <v>1</v>
      </c>
      <c r="C45" s="17" t="s">
        <v>229</v>
      </c>
      <c r="D45" s="16" t="b">
        <f aca="false">TRUE()</f>
        <v>1</v>
      </c>
      <c r="E45" s="16" t="b">
        <f aca="false">SUMPRODUCT((F45:AD45 &lt;&gt; "") * (F45:AD45 &lt;= F$2:AD$2)) = 3</f>
        <v>1</v>
      </c>
      <c r="F45" s="18"/>
      <c r="G45" s="18"/>
      <c r="H45" s="18"/>
      <c r="I45" s="18"/>
      <c r="J45" s="18" t="n">
        <v>40</v>
      </c>
      <c r="K45" s="18"/>
      <c r="L45" s="18"/>
      <c r="M45" s="18"/>
      <c r="N45" s="18"/>
      <c r="O45" s="18" t="n">
        <v>25</v>
      </c>
      <c r="P45" s="18"/>
      <c r="Q45" s="18"/>
      <c r="R45" s="18"/>
      <c r="S45" s="18"/>
      <c r="T45" s="18"/>
      <c r="U45" s="18"/>
      <c r="V45" s="18"/>
      <c r="W45" s="19"/>
      <c r="X45" s="18"/>
      <c r="Y45" s="18"/>
      <c r="Z45" s="18"/>
      <c r="AA45" s="18"/>
      <c r="AB45" s="18" t="n">
        <v>40</v>
      </c>
      <c r="AC45" s="18"/>
      <c r="AD45" s="18"/>
      <c r="AE45" s="7" t="n">
        <f aca="false">SUMPRODUCT((F45:AA45 - $F$2:$AA$2) * ((F45:AA45 - $F$2:$AA$2) &gt; 0))</f>
        <v>0</v>
      </c>
      <c r="AF45" s="7"/>
      <c r="AG45" s="7"/>
      <c r="AH45" s="7"/>
      <c r="AI45" s="20"/>
      <c r="AJ45" s="9" t="s">
        <v>235</v>
      </c>
      <c r="AK45" s="21" t="str">
        <f aca="false">IFERROR(ADDRESS(MATCH(AJ45, $A$5:$A$180, 0) + 4, COLUMN(A41)), "Not Found")</f>
        <v>$A$45</v>
      </c>
    </row>
    <row r="46" customFormat="false" ht="17.35" hidden="false" customHeight="false" outlineLevel="0" collapsed="false">
      <c r="A46" s="8" t="s">
        <v>67</v>
      </c>
      <c r="B46" s="16" t="b">
        <f aca="false">AND(D46=TRUE(),E46=TRUE())</f>
        <v>1</v>
      </c>
      <c r="C46" s="17" t="s">
        <v>230</v>
      </c>
      <c r="D46" s="16" t="b">
        <f aca="false">AND(INDEX(C:C, MATCH("Creature of Fenkenstrain", AJ:AJ, 0)) = "Y")</f>
        <v>1</v>
      </c>
      <c r="E46" s="16" t="b">
        <f aca="false">SUMPRODUCT((F46:AD46 &lt;&gt; "") * (F46:AD46 &lt;= F$2:AD$2)) = 1</f>
        <v>1</v>
      </c>
      <c r="F46" s="18"/>
      <c r="G46" s="18"/>
      <c r="H46" s="18"/>
      <c r="I46" s="18"/>
      <c r="J46" s="18"/>
      <c r="K46" s="18"/>
      <c r="L46" s="18" t="n">
        <v>25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9"/>
      <c r="X46" s="18"/>
      <c r="Y46" s="18"/>
      <c r="Z46" s="18"/>
      <c r="AA46" s="18"/>
      <c r="AB46" s="18"/>
      <c r="AC46" s="18"/>
      <c r="AD46" s="18"/>
      <c r="AE46" s="7" t="n">
        <f aca="false">SUMPRODUCT((F46:AA46 - $F$2:$AA$2) * ((F46:AA46 - $F$2:$AA$2) &gt; 0))</f>
        <v>0</v>
      </c>
      <c r="AF46" s="7"/>
      <c r="AG46" s="7"/>
      <c r="AH46" s="7"/>
      <c r="AI46" s="20"/>
      <c r="AJ46" s="8" t="s">
        <v>67</v>
      </c>
      <c r="AK46" s="21" t="str">
        <f aca="false">IFERROR(ADDRESS(MATCH(AJ46, $A$5:$A$180, 0) + 4, COLUMN(A42)), "Not Found")</f>
        <v>$A$46</v>
      </c>
    </row>
    <row r="47" customFormat="false" ht="17.35" hidden="false" customHeight="false" outlineLevel="0" collapsed="false">
      <c r="A47" s="8" t="s">
        <v>68</v>
      </c>
      <c r="B47" s="16" t="b">
        <f aca="false">AND(D47=TRUE(),E47=TRUE())</f>
        <v>1</v>
      </c>
      <c r="C47" s="23" t="s">
        <v>229</v>
      </c>
      <c r="D47" s="16" t="b">
        <f aca="false">TRUE()</f>
        <v>1</v>
      </c>
      <c r="E47" s="16" t="b">
        <f aca="false">SUMPRODUCT((F47:AD47 &lt;&gt; "") * (F47:AD47 &lt;= F$2:AD$2)) = 0</f>
        <v>1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9"/>
      <c r="X47" s="18"/>
      <c r="Y47" s="18"/>
      <c r="Z47" s="18"/>
      <c r="AA47" s="18"/>
      <c r="AB47" s="18"/>
      <c r="AC47" s="18"/>
      <c r="AD47" s="18"/>
      <c r="AE47" s="7" t="n">
        <f aca="false">SUMPRODUCT((F47:AA47 - $F$2:$AA$2) * ((F47:AA47 - $F$2:$AA$2) &gt; 0))</f>
        <v>0</v>
      </c>
      <c r="AF47" s="7"/>
      <c r="AG47" s="7"/>
      <c r="AH47" s="7"/>
      <c r="AI47" s="20"/>
      <c r="AJ47" s="8" t="s">
        <v>68</v>
      </c>
      <c r="AK47" s="21" t="str">
        <f aca="false">IFERROR(ADDRESS(MATCH(AJ47, $A$5:$A$180, 0) + 4, COLUMN(A43)), "Not Found")</f>
        <v>$A$47</v>
      </c>
    </row>
    <row r="48" customFormat="false" ht="17.35" hidden="false" customHeight="false" outlineLevel="0" collapsed="false">
      <c r="A48" s="8" t="s">
        <v>69</v>
      </c>
      <c r="B48" s="16" t="b">
        <f aca="false">AND(D48=TRUE(),E48=TRUE())</f>
        <v>1</v>
      </c>
      <c r="C48" s="17" t="s">
        <v>229</v>
      </c>
      <c r="D48" s="16" t="b">
        <f aca="false">AND(INDEX(C:C, MATCH("Lost City", AJ:AJ, 0)) = "Y",INDEX(C:C, MATCH("Restless Ghost, The", AJ:AJ, 0)) = "Y")</f>
        <v>1</v>
      </c>
      <c r="E48" s="16" t="b">
        <f aca="false">SUMPRODUCT((F48:AD48 &lt;&gt; "") * (F48:AD48 &lt;= F$2:AD$2)) = 2</f>
        <v>1</v>
      </c>
      <c r="F48" s="18" t="n">
        <v>25</v>
      </c>
      <c r="G48" s="18"/>
      <c r="H48" s="18"/>
      <c r="I48" s="18" t="n">
        <v>20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9"/>
      <c r="X48" s="18"/>
      <c r="Y48" s="18"/>
      <c r="Z48" s="18"/>
      <c r="AA48" s="18"/>
      <c r="AB48" s="18"/>
      <c r="AC48" s="18"/>
      <c r="AD48" s="18"/>
      <c r="AE48" s="7" t="n">
        <f aca="false">SUMPRODUCT((F48:AA48 - $F$2:$AA$2) * ((F48:AA48 - $F$2:$AA$2) &gt; 0))</f>
        <v>0</v>
      </c>
      <c r="AF48" s="7"/>
      <c r="AG48" s="7"/>
      <c r="AH48" s="7"/>
      <c r="AI48" s="20"/>
      <c r="AJ48" s="8" t="s">
        <v>69</v>
      </c>
      <c r="AK48" s="21" t="str">
        <f aca="false">IFERROR(ADDRESS(MATCH(AJ48, $A$5:$A$180, 0) + 4, COLUMN(A44)), "Not Found")</f>
        <v>$A$48</v>
      </c>
    </row>
    <row r="49" customFormat="false" ht="17.4" hidden="false" customHeight="false" outlineLevel="0" collapsed="false">
      <c r="A49" s="9" t="s">
        <v>236</v>
      </c>
      <c r="B49" s="16" t="b">
        <f aca="false">AND(D49=TRUE(),E49=TRUE())</f>
        <v>1</v>
      </c>
      <c r="C49" s="17" t="s">
        <v>230</v>
      </c>
      <c r="D49" s="16" t="b">
        <f aca="false">TRUE()</f>
        <v>1</v>
      </c>
      <c r="E49" s="16" t="n">
        <f aca="false">SUMPRODUCT((F49:AD49 &lt;&gt; "") * (F49:AD49 &lt;= F$2:AD$2)) = 4</f>
        <v>1</v>
      </c>
      <c r="F49" s="18"/>
      <c r="G49" s="18"/>
      <c r="H49" s="18"/>
      <c r="I49" s="18"/>
      <c r="J49" s="18" t="n">
        <v>12</v>
      </c>
      <c r="K49" s="18"/>
      <c r="L49" s="18"/>
      <c r="M49" s="18" t="n">
        <v>16</v>
      </c>
      <c r="N49" s="18"/>
      <c r="O49" s="18"/>
      <c r="P49" s="18"/>
      <c r="Q49" s="18"/>
      <c r="R49" s="18" t="n">
        <v>33</v>
      </c>
      <c r="S49" s="18"/>
      <c r="T49" s="18"/>
      <c r="U49" s="18"/>
      <c r="V49" s="18"/>
      <c r="W49" s="19"/>
      <c r="X49" s="18"/>
      <c r="Y49" s="18"/>
      <c r="Z49" s="18"/>
      <c r="AA49" s="18" t="n">
        <v>14</v>
      </c>
      <c r="AB49" s="18"/>
      <c r="AC49" s="18"/>
      <c r="AD49" s="18"/>
      <c r="AE49" s="7" t="n">
        <f aca="false">SUMPRODUCT((F49:AA49 - $F$2:$AA$2) * ((F49:AA49 - $F$2:$AA$2) &gt; 0))</f>
        <v>0</v>
      </c>
      <c r="AF49" s="7"/>
      <c r="AG49" s="7"/>
      <c r="AH49" s="7"/>
      <c r="AI49" s="20"/>
      <c r="AJ49" s="9" t="s">
        <v>236</v>
      </c>
      <c r="AK49" s="21" t="str">
        <f aca="false">IFERROR(ADDRESS(MATCH(AJ49, $A$5:$A$180, 0) + 4, COLUMN(A45)), "Not Found")</f>
        <v>$A$49</v>
      </c>
    </row>
    <row r="50" customFormat="false" ht="17.35" hidden="false" customHeight="false" outlineLevel="0" collapsed="false">
      <c r="A50" s="8" t="s">
        <v>71</v>
      </c>
      <c r="B50" s="16" t="b">
        <f aca="false">AND(D50=TRUE(),E50=TRUE())</f>
        <v>1</v>
      </c>
      <c r="C50" s="17" t="s">
        <v>229</v>
      </c>
      <c r="D50" s="16" t="b">
        <f aca="false">TRUE()</f>
        <v>1</v>
      </c>
      <c r="E50" s="16" t="b">
        <f aca="false">SUMPRODUCT((F50:AD50 &lt;&gt; "") * (F50:AD50 &lt;= F$2:AD$2)) = 0</f>
        <v>1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9"/>
      <c r="X50" s="18"/>
      <c r="Y50" s="18"/>
      <c r="Z50" s="18"/>
      <c r="AA50" s="18"/>
      <c r="AB50" s="18"/>
      <c r="AC50" s="18"/>
      <c r="AD50" s="18"/>
      <c r="AE50" s="7" t="n">
        <f aca="false">SUMPRODUCT((F50:AA50 - $F$2:$AA$2) * ((F50:AA50 - $F$2:$AA$2) &gt; 0))</f>
        <v>0</v>
      </c>
      <c r="AF50" s="7"/>
      <c r="AG50" s="7"/>
      <c r="AH50" s="7"/>
      <c r="AI50" s="20"/>
      <c r="AJ50" s="8" t="s">
        <v>71</v>
      </c>
      <c r="AK50" s="21" t="str">
        <f aca="false">IFERROR(ADDRESS(MATCH(AJ50, $A$5:$A$180, 0) + 4, COLUMN(A46)), "Not Found")</f>
        <v>$A$50</v>
      </c>
    </row>
    <row r="51" customFormat="false" ht="17.4" hidden="false" customHeight="false" outlineLevel="0" collapsed="false">
      <c r="A51" s="9" t="s">
        <v>237</v>
      </c>
      <c r="B51" s="16" t="b">
        <f aca="false">AND(D51=TRUE(),E51=TRUE())</f>
        <v>1</v>
      </c>
      <c r="C51" s="17" t="s">
        <v>230</v>
      </c>
      <c r="D51" s="16" t="b">
        <f aca="false">TRUE()</f>
        <v>1</v>
      </c>
      <c r="E51" s="16" t="b">
        <f aca="false">SUMPRODUCT((F51:AD51 &lt;&gt; "") * (F51:AD51 &lt;= F$2:AD$2)) = 2</f>
        <v>1</v>
      </c>
      <c r="F51" s="18"/>
      <c r="G51" s="18"/>
      <c r="H51" s="18"/>
      <c r="I51" s="18"/>
      <c r="J51" s="18" t="n">
        <v>20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9"/>
      <c r="X51" s="18"/>
      <c r="Y51" s="18"/>
      <c r="Z51" s="18"/>
      <c r="AA51" s="18" t="n">
        <v>25</v>
      </c>
      <c r="AB51" s="18"/>
      <c r="AC51" s="18"/>
      <c r="AD51" s="18"/>
      <c r="AE51" s="7" t="n">
        <f aca="false">SUMPRODUCT((F51:AA51 - $F$2:$AA$2) * ((F51:AA51 - $F$2:$AA$2) &gt; 0))</f>
        <v>0</v>
      </c>
      <c r="AF51" s="7"/>
      <c r="AG51" s="7"/>
      <c r="AH51" s="7"/>
      <c r="AI51" s="20"/>
      <c r="AJ51" s="9" t="s">
        <v>237</v>
      </c>
      <c r="AK51" s="21" t="str">
        <f aca="false">IFERROR(ADDRESS(MATCH(AJ51, $A$5:$A$180, 0) + 4, COLUMN(A47)), "Not Found")</f>
        <v>$A$51</v>
      </c>
    </row>
    <row r="52" customFormat="false" ht="17.4" hidden="false" customHeight="false" outlineLevel="0" collapsed="false">
      <c r="A52" s="9" t="s">
        <v>238</v>
      </c>
      <c r="B52" s="16" t="b">
        <f aca="false">TRUE()</f>
        <v>1</v>
      </c>
      <c r="C52" s="17" t="s">
        <v>229</v>
      </c>
      <c r="D52" s="16" t="b">
        <f aca="false">TRUE()</f>
        <v>1</v>
      </c>
      <c r="E52" s="16" t="n">
        <f aca="false">SUMPRODUCT((F52:AD52 &lt;&gt; "") * (F52:AD52 &lt;= F$2:AD$2)) = 4</f>
        <v>0</v>
      </c>
      <c r="F52" s="18" t="n">
        <v>25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9"/>
      <c r="X52" s="18"/>
      <c r="Y52" s="18"/>
      <c r="Z52" s="18"/>
      <c r="AA52" s="18"/>
      <c r="AB52" s="18"/>
      <c r="AC52" s="18"/>
      <c r="AD52" s="18"/>
      <c r="AE52" s="7" t="n">
        <f aca="false">SUMPRODUCT((F52:AA52 - $F$2:$AA$2) * ((F52:AA52 - $F$2:$AA$2) &gt; 0))</f>
        <v>0</v>
      </c>
      <c r="AF52" s="7"/>
      <c r="AG52" s="7"/>
      <c r="AH52" s="7"/>
      <c r="AI52" s="20"/>
      <c r="AJ52" s="9" t="s">
        <v>238</v>
      </c>
      <c r="AK52" s="21" t="str">
        <f aca="false">IFERROR(ADDRESS(MATCH(AJ52, $A$5:$A$180, 0) + 4, COLUMN(A48)), "Not Found")</f>
        <v>$A$52</v>
      </c>
    </row>
    <row r="53" customFormat="false" ht="17.4" hidden="false" customHeight="false" outlineLevel="0" collapsed="false">
      <c r="A53" s="9" t="s">
        <v>239</v>
      </c>
      <c r="B53" s="16" t="b">
        <f aca="false">TRUE()</f>
        <v>1</v>
      </c>
      <c r="C53" s="17" t="s">
        <v>229</v>
      </c>
      <c r="D53" s="16" t="b">
        <f aca="false">TRUE()</f>
        <v>1</v>
      </c>
      <c r="E53" s="16" t="b">
        <f aca="false">SUMPRODUCT((F53:AD53 &lt;&gt; "") * (F53:AD53 &lt;= F$2:AD$2)) = 3</f>
        <v>1</v>
      </c>
      <c r="F53" s="18"/>
      <c r="G53" s="18"/>
      <c r="H53" s="18" t="n">
        <v>30</v>
      </c>
      <c r="I53" s="18"/>
      <c r="J53" s="18" t="n">
        <v>16</v>
      </c>
      <c r="K53" s="18"/>
      <c r="L53" s="18"/>
      <c r="M53" s="18"/>
      <c r="N53" s="18"/>
      <c r="O53" s="18"/>
      <c r="P53" s="18"/>
      <c r="Q53" s="18"/>
      <c r="R53" s="18"/>
      <c r="S53" s="18"/>
      <c r="T53" s="18" t="n">
        <v>50</v>
      </c>
      <c r="U53" s="18"/>
      <c r="V53" s="18"/>
      <c r="W53" s="19"/>
      <c r="X53" s="18"/>
      <c r="Y53" s="18"/>
      <c r="Z53" s="18"/>
      <c r="AA53" s="18"/>
      <c r="AB53" s="18"/>
      <c r="AC53" s="18"/>
      <c r="AD53" s="18"/>
      <c r="AE53" s="7" t="n">
        <f aca="false">SUMPRODUCT((F53:AA53 - $F$2:$AA$2) * ((F53:AA53 - $F$2:$AA$2) &gt; 0))</f>
        <v>0</v>
      </c>
      <c r="AF53" s="7"/>
      <c r="AG53" s="7"/>
      <c r="AH53" s="7"/>
      <c r="AI53" s="20"/>
      <c r="AJ53" s="9" t="s">
        <v>239</v>
      </c>
      <c r="AK53" s="21" t="str">
        <f aca="false">IFERROR(ADDRESS(MATCH(AJ53, $A$5:$A$180, 0) + 4, COLUMN(A49)), "Not Found")</f>
        <v>$A$53</v>
      </c>
    </row>
    <row r="54" customFormat="false" ht="17.35" hidden="false" customHeight="false" outlineLevel="0" collapsed="false">
      <c r="A54" s="8" t="s">
        <v>75</v>
      </c>
      <c r="B54" s="16" t="b">
        <f aca="false">AND(D54=TRUE(),E54=TRUE())</f>
        <v>0</v>
      </c>
      <c r="C54" s="17" t="s">
        <v>230</v>
      </c>
      <c r="D54" s="16" t="b">
        <f aca="false">AND(INDEX(C:C, MATCH("Witch's House", AJ:AJ, 0)) = "Y")</f>
        <v>1</v>
      </c>
      <c r="E54" s="16" t="b">
        <f aca="false">SUMPRODUCT((F54:AD54 &lt;&gt; "") * (F54:AD54 &lt;= F$2:AD$2)) = 5</f>
        <v>0</v>
      </c>
      <c r="F54" s="18" t="n">
        <v>59</v>
      </c>
      <c r="G54" s="18"/>
      <c r="H54" s="18"/>
      <c r="I54" s="18"/>
      <c r="J54" s="18"/>
      <c r="K54" s="18"/>
      <c r="L54" s="18" t="n">
        <v>45</v>
      </c>
      <c r="M54" s="18"/>
      <c r="N54" s="18"/>
      <c r="O54" s="18"/>
      <c r="P54" s="18" t="n">
        <v>52</v>
      </c>
      <c r="Q54" s="18"/>
      <c r="R54" s="18"/>
      <c r="S54" s="18"/>
      <c r="T54" s="18"/>
      <c r="U54" s="18"/>
      <c r="V54" s="18"/>
      <c r="W54" s="19"/>
      <c r="X54" s="18"/>
      <c r="Y54" s="18"/>
      <c r="Z54" s="18"/>
      <c r="AA54" s="18" t="n">
        <v>58</v>
      </c>
      <c r="AB54" s="18" t="n">
        <v>71</v>
      </c>
      <c r="AC54" s="18"/>
      <c r="AD54" s="18"/>
      <c r="AE54" s="7" t="n">
        <f aca="false">SUMPRODUCT((F54:AA54 - $F$2:$AA$2) * ((F54:AA54 - $F$2:$AA$2) &gt; 0))</f>
        <v>18</v>
      </c>
      <c r="AF54" s="7"/>
      <c r="AG54" s="7"/>
      <c r="AH54" s="7"/>
      <c r="AI54" s="20"/>
      <c r="AJ54" s="8" t="s">
        <v>75</v>
      </c>
      <c r="AK54" s="21" t="str">
        <f aca="false">IFERROR(ADDRESS(MATCH(AJ54, $A$5:$A$180, 0) + 4, COLUMN(A50)), "Not Found")</f>
        <v>$A$54</v>
      </c>
    </row>
    <row r="55" customFormat="false" ht="17.4" hidden="false" customHeight="false" outlineLevel="0" collapsed="false">
      <c r="A55" s="9" t="s">
        <v>240</v>
      </c>
      <c r="B55" s="16" t="b">
        <f aca="false">AND(D55=TRUE(),E55=TRUE())</f>
        <v>1</v>
      </c>
      <c r="C55" s="17" t="s">
        <v>230</v>
      </c>
      <c r="D55" s="16" t="b">
        <f aca="false">TRUE()</f>
        <v>1</v>
      </c>
      <c r="E55" s="16" t="b">
        <f aca="false">SUMPRODUCT((F55:AD55 &lt;&gt; "") * (F55:AD55 &lt;= F$2:AD$2)) = 2</f>
        <v>1</v>
      </c>
      <c r="F55" s="18"/>
      <c r="G55" s="18"/>
      <c r="H55" s="18"/>
      <c r="I55" s="18"/>
      <c r="J55" s="18" t="n">
        <v>49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9"/>
      <c r="X55" s="18"/>
      <c r="Y55" s="18"/>
      <c r="Z55" s="18"/>
      <c r="AA55" s="18" t="n">
        <v>17</v>
      </c>
      <c r="AB55" s="18"/>
      <c r="AC55" s="18"/>
      <c r="AD55" s="18"/>
      <c r="AE55" s="7" t="n">
        <f aca="false">SUMPRODUCT((F55:AA55 - $F$2:$AA$2) * ((F55:AA55 - $F$2:$AA$2) &gt; 0))</f>
        <v>0</v>
      </c>
      <c r="AF55" s="7"/>
      <c r="AG55" s="7"/>
      <c r="AH55" s="7"/>
      <c r="AI55" s="20"/>
      <c r="AJ55" s="9" t="s">
        <v>240</v>
      </c>
      <c r="AK55" s="21" t="str">
        <f aca="false">IFERROR(ADDRESS(MATCH(AJ55, $A$5:$A$180, 0) + 4, COLUMN(A51)), "Not Found")</f>
        <v>$A$55</v>
      </c>
    </row>
    <row r="56" customFormat="false" ht="17.35" hidden="false" customHeight="false" outlineLevel="0" collapsed="false">
      <c r="A56" s="8" t="s">
        <v>77</v>
      </c>
      <c r="B56" s="16" t="b">
        <f aca="false">TRUE()</f>
        <v>1</v>
      </c>
      <c r="C56" s="17" t="s">
        <v>229</v>
      </c>
      <c r="D56" s="16" t="b">
        <f aca="false">TRUE()</f>
        <v>1</v>
      </c>
      <c r="E56" s="16" t="b">
        <f aca="false">SUMPRODUCT((F56:AD56 &lt;&gt; "") * (F56:AD56 &lt;= F$2:AD$2)) = 3</f>
        <v>1</v>
      </c>
      <c r="F56" s="18" t="n">
        <v>15</v>
      </c>
      <c r="G56" s="18"/>
      <c r="H56" s="18"/>
      <c r="I56" s="18"/>
      <c r="J56" s="18" t="n">
        <v>35</v>
      </c>
      <c r="K56" s="18"/>
      <c r="L56" s="18"/>
      <c r="M56" s="18"/>
      <c r="N56" s="18"/>
      <c r="O56" s="18"/>
      <c r="P56" s="18"/>
      <c r="Q56" s="18"/>
      <c r="R56" s="18"/>
      <c r="S56" s="18"/>
      <c r="T56" s="18" t="n">
        <v>43</v>
      </c>
      <c r="U56" s="18"/>
      <c r="V56" s="18"/>
      <c r="W56" s="19"/>
      <c r="X56" s="18"/>
      <c r="Y56" s="18"/>
      <c r="Z56" s="18"/>
      <c r="AA56" s="18"/>
      <c r="AB56" s="18"/>
      <c r="AC56" s="18"/>
      <c r="AD56" s="18"/>
      <c r="AE56" s="7" t="n">
        <f aca="false">SUMPRODUCT((F56:AA56 - $F$2:$AA$2) * ((F56:AA56 - $F$2:$AA$2) &gt; 0))</f>
        <v>0</v>
      </c>
      <c r="AF56" s="7"/>
      <c r="AG56" s="7"/>
      <c r="AH56" s="7"/>
      <c r="AI56" s="20"/>
      <c r="AJ56" s="8" t="s">
        <v>77</v>
      </c>
      <c r="AK56" s="21" t="str">
        <f aca="false">IFERROR(ADDRESS(MATCH(AJ56, $A$5:$A$180, 0) + 4, COLUMN(A52)), "Not Found")</f>
        <v>$A$56</v>
      </c>
    </row>
    <row r="57" customFormat="false" ht="17.35" hidden="false" customHeight="false" outlineLevel="0" collapsed="false">
      <c r="A57" s="8" t="s">
        <v>78</v>
      </c>
      <c r="B57" s="16" t="b">
        <f aca="false">AND(D57=TRUE(),E57=TRUE())</f>
        <v>1</v>
      </c>
      <c r="C57" s="23" t="s">
        <v>229</v>
      </c>
      <c r="D57" s="16" t="b">
        <f aca="false">TRUE()</f>
        <v>1</v>
      </c>
      <c r="E57" s="16" t="b">
        <f aca="false">SUMPRODUCT((F57:AD57 &lt;&gt; "") * (F57:AD57 &lt;= F$2:AD$2)) = 0</f>
        <v>1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9"/>
      <c r="X57" s="18"/>
      <c r="Y57" s="18"/>
      <c r="Z57" s="18"/>
      <c r="AA57" s="18"/>
      <c r="AB57" s="18"/>
      <c r="AC57" s="18"/>
      <c r="AD57" s="18"/>
      <c r="AE57" s="7" t="n">
        <f aca="false">SUMPRODUCT((F57:AA57 - $F$2:$AA$2) * ((F57:AA57 - $F$2:$AA$2) &gt; 0))</f>
        <v>0</v>
      </c>
      <c r="AF57" s="7"/>
      <c r="AG57" s="7"/>
      <c r="AH57" s="7"/>
      <c r="AI57" s="20"/>
      <c r="AJ57" s="8" t="s">
        <v>78</v>
      </c>
      <c r="AK57" s="21" t="str">
        <f aca="false">IFERROR(ADDRESS(MATCH(AJ57, $A$5:$A$180, 0) + 4, COLUMN(A53)), "Not Found")</f>
        <v>$A$57</v>
      </c>
    </row>
    <row r="58" customFormat="false" ht="17.35" hidden="false" customHeight="false" outlineLevel="0" collapsed="false">
      <c r="A58" s="8" t="s">
        <v>79</v>
      </c>
      <c r="B58" s="16" t="b">
        <f aca="false">AND(D58=TRUE(),E58=TRUE())</f>
        <v>1</v>
      </c>
      <c r="C58" s="17" t="s">
        <v>229</v>
      </c>
      <c r="D58" s="16" t="b">
        <f aca="false">AND(INDEX(C:C, MATCH("Shield of Arrav", AJ:AJ, 0)) = "Y",INDEX(C:C, MATCH("Lost City", AJ:AJ, 0)) = "Y",INDEX(C:C, MATCH("Dragon Slayer", AJ:AJ, 0)) = "Y",INDEX(C:C, MATCH("Merlin's Crystal", AJ:AJ, 0)) = "Y")</f>
        <v>1</v>
      </c>
      <c r="E58" s="16" t="b">
        <f aca="false">SUMPRODUCT((F58:AD58 &lt;&gt; "") * (F58:AD58 &lt;= F$2:AD$2)) = 5</f>
        <v>1</v>
      </c>
      <c r="F58" s="18"/>
      <c r="G58" s="18"/>
      <c r="H58" s="18"/>
      <c r="I58" s="18" t="n">
        <v>53</v>
      </c>
      <c r="J58" s="18"/>
      <c r="K58" s="18"/>
      <c r="L58" s="18"/>
      <c r="M58" s="18"/>
      <c r="N58" s="18" t="n">
        <v>53</v>
      </c>
      <c r="O58" s="18"/>
      <c r="P58" s="18" t="n">
        <v>25</v>
      </c>
      <c r="Q58" s="18"/>
      <c r="R58" s="18"/>
      <c r="S58" s="18" t="n">
        <v>50</v>
      </c>
      <c r="T58" s="18"/>
      <c r="U58" s="18"/>
      <c r="V58" s="18"/>
      <c r="W58" s="19"/>
      <c r="X58" s="18"/>
      <c r="Y58" s="18"/>
      <c r="Z58" s="18"/>
      <c r="AA58" s="18"/>
      <c r="AB58" s="18"/>
      <c r="AC58" s="18" t="n">
        <v>55</v>
      </c>
      <c r="AD58" s="18"/>
      <c r="AE58" s="7" t="n">
        <f aca="false">SUMPRODUCT((F58:AA58 - $F$2:$AA$2) * ((F58:AA58 - $F$2:$AA$2) &gt; 0))</f>
        <v>0</v>
      </c>
      <c r="AF58" s="7"/>
      <c r="AG58" s="7"/>
      <c r="AH58" s="7"/>
      <c r="AI58" s="20"/>
      <c r="AJ58" s="8" t="s">
        <v>79</v>
      </c>
      <c r="AK58" s="21" t="str">
        <f aca="false">IFERROR(ADDRESS(MATCH(AJ58, $A$5:$A$180, 0) + 4, COLUMN(A54)), "Not Found")</f>
        <v>$A$58</v>
      </c>
    </row>
    <row r="59" customFormat="false" ht="17.35" hidden="false" customHeight="false" outlineLevel="0" collapsed="false">
      <c r="A59" s="8" t="s">
        <v>80</v>
      </c>
      <c r="B59" s="16" t="b">
        <f aca="false">AND(D59=TRUE(),E59=TRUE())</f>
        <v>1</v>
      </c>
      <c r="C59" s="17" t="s">
        <v>229</v>
      </c>
      <c r="D59" s="16" t="b">
        <f aca="false">AND(INDEX(C:C, MATCH("Merlin's Crystal", AJ:AJ, 0)) = "Y")</f>
        <v>1</v>
      </c>
      <c r="E59" s="16" t="b">
        <f aca="false">SUMPRODUCT((F59:AD59 &lt;&gt; "") * (F59:AD59 &lt;= F$2:AD$2)) = 1</f>
        <v>1</v>
      </c>
      <c r="F59" s="18"/>
      <c r="G59" s="18" t="n">
        <v>20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9"/>
      <c r="X59" s="18"/>
      <c r="Y59" s="18"/>
      <c r="Z59" s="18"/>
      <c r="AA59" s="18"/>
      <c r="AB59" s="18"/>
      <c r="AC59" s="18"/>
      <c r="AD59" s="18"/>
      <c r="AE59" s="7" t="n">
        <f aca="false">SUMPRODUCT((F59:AA59 - $F$2:$AA$2) * ((F59:AA59 - $F$2:$AA$2) &gt; 0))</f>
        <v>0</v>
      </c>
      <c r="AF59" s="7"/>
      <c r="AG59" s="7"/>
      <c r="AH59" s="7"/>
      <c r="AI59" s="20"/>
      <c r="AJ59" s="8" t="s">
        <v>80</v>
      </c>
      <c r="AK59" s="21" t="str">
        <f aca="false">IFERROR(ADDRESS(MATCH(AJ59, $A$5:$A$180, 0) + 4, COLUMN(A55)), "Not Found")</f>
        <v>$A$59</v>
      </c>
    </row>
    <row r="60" customFormat="false" ht="17.35" hidden="false" customHeight="false" outlineLevel="0" collapsed="false">
      <c r="A60" s="8" t="s">
        <v>81</v>
      </c>
      <c r="B60" s="16" t="b">
        <f aca="false">AND(D60=TRUE(),E60=TRUE())</f>
        <v>1</v>
      </c>
      <c r="C60" s="17" t="s">
        <v>229</v>
      </c>
      <c r="D60" s="16" t="b">
        <f aca="false">TRUE()</f>
        <v>1</v>
      </c>
      <c r="E60" s="16" t="b">
        <f aca="false">SUMPRODUCT((F60:AD60 &lt;&gt; "") * (F60:AD60 &lt;= F$2:AD$2)) = 2</f>
        <v>1</v>
      </c>
      <c r="F60" s="18" t="n">
        <v>35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 t="n">
        <v>40</v>
      </c>
      <c r="U60" s="18"/>
      <c r="V60" s="18"/>
      <c r="W60" s="19"/>
      <c r="X60" s="18"/>
      <c r="Y60" s="18"/>
      <c r="Z60" s="18"/>
      <c r="AA60" s="18"/>
      <c r="AB60" s="18"/>
      <c r="AC60" s="18"/>
      <c r="AD60" s="18"/>
      <c r="AE60" s="7" t="n">
        <f aca="false">SUMPRODUCT((F60:AA60 - $F$2:$AA$2) * ((F60:AA60 - $F$2:$AA$2) &gt; 0))</f>
        <v>0</v>
      </c>
      <c r="AF60" s="7"/>
      <c r="AG60" s="7"/>
      <c r="AH60" s="7"/>
      <c r="AI60" s="20"/>
      <c r="AJ60" s="8" t="s">
        <v>81</v>
      </c>
      <c r="AK60" s="21" t="str">
        <f aca="false">IFERROR(ADDRESS(MATCH(AJ60, $A$5:$A$180, 0) + 4, COLUMN(A56)), "Not Found")</f>
        <v>$A$60</v>
      </c>
    </row>
    <row r="61" customFormat="false" ht="17.35" hidden="false" customHeight="false" outlineLevel="0" collapsed="false">
      <c r="A61" s="8" t="s">
        <v>82</v>
      </c>
      <c r="B61" s="16" t="b">
        <f aca="false">AND(D61=TRUE(),E61=TRUE())</f>
        <v>1</v>
      </c>
      <c r="C61" s="17" t="s">
        <v>229</v>
      </c>
      <c r="D61" s="16" t="b">
        <f aca="false">AND(INDEX(C:C, MATCH("Gertrude's Cat", AJ:AJ, 0)) = "Y")</f>
        <v>1</v>
      </c>
      <c r="E61" s="16" t="b">
        <f aca="false">SUMPRODUCT((F61:AD61 &lt;&gt; "") * (F61:AD61 &lt;= F$2:AD$2)) = 0</f>
        <v>1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9"/>
      <c r="X61" s="18"/>
      <c r="Y61" s="18"/>
      <c r="Z61" s="18"/>
      <c r="AA61" s="18"/>
      <c r="AB61" s="18"/>
      <c r="AC61" s="18"/>
      <c r="AD61" s="18"/>
      <c r="AE61" s="7" t="n">
        <f aca="false">SUMPRODUCT((F61:AA61 - $F$2:$AA$2) * ((F61:AA61 - $F$2:$AA$2) &gt; 0))</f>
        <v>0</v>
      </c>
      <c r="AF61" s="7"/>
      <c r="AG61" s="7"/>
      <c r="AH61" s="7"/>
      <c r="AI61" s="20"/>
      <c r="AJ61" s="8" t="s">
        <v>82</v>
      </c>
      <c r="AK61" s="21" t="str">
        <f aca="false">IFERROR(ADDRESS(MATCH(AJ61, $A$5:$A$180, 0) + 4, COLUMN(A57)), "Not Found")</f>
        <v>$A$61</v>
      </c>
    </row>
    <row r="62" customFormat="false" ht="17.35" hidden="false" customHeight="false" outlineLevel="0" collapsed="false">
      <c r="A62" s="8" t="s">
        <v>83</v>
      </c>
      <c r="B62" s="16" t="b">
        <f aca="false">AND(D62=TRUE(),E62=TRUE())</f>
        <v>0</v>
      </c>
      <c r="C62" s="17" t="s">
        <v>229</v>
      </c>
      <c r="D62" s="16" t="b">
        <f aca="false">TRUE()</f>
        <v>1</v>
      </c>
      <c r="E62" s="16" t="n">
        <f aca="false">SUMPRODUCT((F62:AD62 &lt;&gt; "") * (F62:AD62 &lt;= F$2:AD$2)) = 4</f>
        <v>0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9"/>
      <c r="X62" s="18"/>
      <c r="Y62" s="18"/>
      <c r="Z62" s="18"/>
      <c r="AA62" s="18"/>
      <c r="AB62" s="18"/>
      <c r="AC62" s="18"/>
      <c r="AD62" s="18"/>
      <c r="AE62" s="7" t="n">
        <f aca="false">SUMPRODUCT((F62:AA62 - $F$2:$AA$2) * ((F62:AA62 - $F$2:$AA$2) &gt; 0))</f>
        <v>0</v>
      </c>
      <c r="AF62" s="7"/>
      <c r="AG62" s="7"/>
      <c r="AH62" s="7"/>
      <c r="AI62" s="20"/>
      <c r="AJ62" s="8" t="s">
        <v>83</v>
      </c>
      <c r="AK62" s="21" t="str">
        <f aca="false">IFERROR(ADDRESS(MATCH(AJ62, $A$5:$A$180, 0) + 4, COLUMN(A58)), "Not Found")</f>
        <v>$A$62</v>
      </c>
    </row>
    <row r="63" customFormat="false" ht="17.35" hidden="false" customHeight="false" outlineLevel="0" collapsed="false">
      <c r="A63" s="8" t="s">
        <v>84</v>
      </c>
      <c r="B63" s="16" t="b">
        <f aca="false">AND(D63=TRUE(),E63=TRUE())</f>
        <v>1</v>
      </c>
      <c r="C63" s="23" t="s">
        <v>230</v>
      </c>
      <c r="D63" s="16" t="b">
        <f aca="false">AND(INDEX(C:C, MATCH("Nature Spirit", AJ:AJ, 0)) = "Y",INDEX(C:C, MATCH("In Search of the Myreque", AJ:AJ, 0)) = "Y")</f>
        <v>1</v>
      </c>
      <c r="E63" s="16" t="b">
        <f aca="false">SUMPRODUCT((F63:AD63 &lt;&gt; "") * (F63:AD63 &lt;= F$2:AD$2)) = 3</f>
        <v>1</v>
      </c>
      <c r="F63" s="18"/>
      <c r="G63" s="18"/>
      <c r="H63" s="18"/>
      <c r="I63" s="18"/>
      <c r="J63" s="18" t="n">
        <v>25</v>
      </c>
      <c r="K63" s="18"/>
      <c r="L63" s="18"/>
      <c r="M63" s="18"/>
      <c r="N63" s="18"/>
      <c r="O63" s="18"/>
      <c r="P63" s="18"/>
      <c r="Q63" s="18"/>
      <c r="R63" s="18" t="n">
        <v>7</v>
      </c>
      <c r="S63" s="18" t="n">
        <v>15</v>
      </c>
      <c r="T63" s="18"/>
      <c r="U63" s="18"/>
      <c r="V63" s="18"/>
      <c r="W63" s="19"/>
      <c r="X63" s="18"/>
      <c r="Y63" s="18"/>
      <c r="Z63" s="18"/>
      <c r="AA63" s="18"/>
      <c r="AB63" s="18"/>
      <c r="AC63" s="18"/>
      <c r="AD63" s="18"/>
      <c r="AE63" s="7" t="n">
        <f aca="false">SUMPRODUCT((F63:AA63 - $F$2:$AA$2) * ((F63:AA63 - $F$2:$AA$2) &gt; 0))</f>
        <v>0</v>
      </c>
      <c r="AF63" s="7"/>
      <c r="AG63" s="7"/>
      <c r="AH63" s="7"/>
      <c r="AI63" s="20"/>
      <c r="AJ63" s="8" t="s">
        <v>84</v>
      </c>
      <c r="AK63" s="21" t="str">
        <f aca="false">IFERROR(ADDRESS(MATCH(AJ63, $A$5:$A$180, 0) + 4, COLUMN(A59)), "Not Found")</f>
        <v>$A$63</v>
      </c>
    </row>
    <row r="64" customFormat="false" ht="17.35" hidden="false" customHeight="false" outlineLevel="0" collapsed="false">
      <c r="A64" s="8" t="s">
        <v>85</v>
      </c>
      <c r="B64" s="16" t="b">
        <f aca="false">AND(D64=TRUE(),E64=TRUE())</f>
        <v>1</v>
      </c>
      <c r="C64" s="17" t="s">
        <v>229</v>
      </c>
      <c r="D64" s="16" t="b">
        <f aca="false">AND(INDEX(C:C, MATCH("Druidic Ritual", AJ:AJ, 0)) = "Y")</f>
        <v>1</v>
      </c>
      <c r="E64" s="16" t="b">
        <f aca="false">SUMPRODUCT((F64:AD64 &lt;&gt; "") * (F64:AD64 &lt;= F$2:AD$2)) = 1</f>
        <v>1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 t="n">
        <v>3</v>
      </c>
      <c r="Q64" s="18"/>
      <c r="R64" s="18"/>
      <c r="S64" s="18"/>
      <c r="T64" s="18"/>
      <c r="U64" s="18"/>
      <c r="V64" s="18"/>
      <c r="W64" s="19"/>
      <c r="X64" s="18"/>
      <c r="Y64" s="18"/>
      <c r="Z64" s="18"/>
      <c r="AA64" s="18"/>
      <c r="AB64" s="18"/>
      <c r="AC64" s="18"/>
      <c r="AD64" s="18"/>
      <c r="AE64" s="7" t="n">
        <f aca="false">SUMPRODUCT((F64:AA64 - $F$2:$AA$2) * ((F64:AA64 - $F$2:$AA$2) &gt; 0))</f>
        <v>0</v>
      </c>
      <c r="AF64" s="7"/>
      <c r="AG64" s="7"/>
      <c r="AH64" s="7"/>
      <c r="AI64" s="20"/>
      <c r="AJ64" s="8" t="s">
        <v>85</v>
      </c>
      <c r="AK64" s="21" t="str">
        <f aca="false">IFERROR(ADDRESS(MATCH(AJ64, $A$5:$A$180, 0) + 4, COLUMN(A60)), "Not Found")</f>
        <v>$A$64</v>
      </c>
    </row>
    <row r="65" customFormat="false" ht="17.35" hidden="false" customHeight="false" outlineLevel="0" collapsed="false">
      <c r="A65" s="8" t="s">
        <v>86</v>
      </c>
      <c r="B65" s="16" t="b">
        <f aca="false">AND(D65=TRUE(),E65=TRUE())</f>
        <v>1</v>
      </c>
      <c r="C65" s="17" t="s">
        <v>229</v>
      </c>
      <c r="D65" s="16" t="b">
        <f aca="false">AND(INDEX(C:C,MATCH("black knight's fortress",AJ:AJ,0))="y",INDEX(C:C,MATCH("merlin's crystal",AJ:AJ,0))="y",INDEX(C:C,MATCH("murder mystery",AJ:AJ,0))="y",INDEX(C:C,MATCH("holy grail",AJ:AJ,0))="y",INDEX(C:C,MATCH("one small favour",AJ:AJ,0))="y")</f>
        <v>1</v>
      </c>
      <c r="E65" s="16" t="b">
        <f aca="false">SUMPRODUCT((F65:AD65 &lt;&gt; "") * (F65:AD65 &lt;= F$2:AD$2)) = 2</f>
        <v>1</v>
      </c>
      <c r="F65" s="18"/>
      <c r="G65" s="18"/>
      <c r="H65" s="18"/>
      <c r="I65" s="18"/>
      <c r="J65" s="18"/>
      <c r="K65" s="18" t="n">
        <v>65</v>
      </c>
      <c r="L65" s="18"/>
      <c r="M65" s="18"/>
      <c r="N65" s="18"/>
      <c r="O65" s="18"/>
      <c r="P65" s="18"/>
      <c r="Q65" s="18"/>
      <c r="R65" s="18" t="n">
        <v>45</v>
      </c>
      <c r="S65" s="18"/>
      <c r="T65" s="18"/>
      <c r="U65" s="18"/>
      <c r="V65" s="18"/>
      <c r="W65" s="19"/>
      <c r="X65" s="18"/>
      <c r="Y65" s="18"/>
      <c r="Z65" s="18"/>
      <c r="AA65" s="18"/>
      <c r="AB65" s="18"/>
      <c r="AC65" s="18"/>
      <c r="AD65" s="18"/>
      <c r="AE65" s="7" t="n">
        <f aca="false">SUMPRODUCT((F65:AA65 - $F$2:$AA$2) * ((F65:AA65 - $F$2:$AA$2) &gt; 0))</f>
        <v>0</v>
      </c>
      <c r="AF65" s="7"/>
      <c r="AG65" s="7"/>
      <c r="AH65" s="7"/>
      <c r="AI65" s="20"/>
      <c r="AJ65" s="8" t="s">
        <v>86</v>
      </c>
      <c r="AK65" s="21" t="str">
        <f aca="false">IFERROR(ADDRESS(MATCH(AJ65, $A$5:$A$180, 0) + 4, COLUMN(A61)), "Not Found")</f>
        <v>$A$65</v>
      </c>
    </row>
    <row r="66" customFormat="false" ht="17.4" hidden="false" customHeight="false" outlineLevel="0" collapsed="false">
      <c r="A66" s="9" t="s">
        <v>241</v>
      </c>
      <c r="B66" s="16" t="b">
        <f aca="false">TRUE()</f>
        <v>1</v>
      </c>
      <c r="C66" s="17" t="s">
        <v>229</v>
      </c>
      <c r="D66" s="16" t="b">
        <f aca="false">TRUE()</f>
        <v>1</v>
      </c>
      <c r="E66" s="16" t="b">
        <f aca="false">SUMPRODUCT((F66:AD66 &lt;&gt; "") * (F66:AD66 &lt;= F$2:AD$2)) = 2</f>
        <v>1</v>
      </c>
      <c r="F66" s="18"/>
      <c r="G66" s="18"/>
      <c r="H66" s="18"/>
      <c r="I66" s="18" t="n">
        <v>10</v>
      </c>
      <c r="J66" s="18"/>
      <c r="K66" s="18"/>
      <c r="L66" s="18"/>
      <c r="M66" s="18"/>
      <c r="N66" s="18"/>
      <c r="O66" s="18"/>
      <c r="P66" s="18"/>
      <c r="Q66" s="18"/>
      <c r="R66" s="18"/>
      <c r="S66" s="18" t="n">
        <v>10</v>
      </c>
      <c r="T66" s="18"/>
      <c r="U66" s="18"/>
      <c r="V66" s="18"/>
      <c r="W66" s="19"/>
      <c r="X66" s="18"/>
      <c r="Y66" s="18"/>
      <c r="Z66" s="18"/>
      <c r="AA66" s="18"/>
      <c r="AB66" s="18"/>
      <c r="AC66" s="18"/>
      <c r="AD66" s="18"/>
      <c r="AE66" s="7" t="n">
        <f aca="false">SUMPRODUCT((F66:AA66 - $F$2:$AA$2) * ((F66:AA66 - $F$2:$AA$2) &gt; 0))</f>
        <v>0</v>
      </c>
      <c r="AF66" s="7"/>
      <c r="AG66" s="7"/>
      <c r="AH66" s="7"/>
      <c r="AI66" s="20"/>
      <c r="AJ66" s="9" t="s">
        <v>241</v>
      </c>
      <c r="AK66" s="21" t="str">
        <f aca="false">IFERROR(ADDRESS(MATCH(AJ66, $A$5:$A$180, 0) + 4, COLUMN(A62)), "Not Found")</f>
        <v>$A$66</v>
      </c>
    </row>
    <row r="67" customFormat="false" ht="17.35" hidden="false" customHeight="false" outlineLevel="0" collapsed="false">
      <c r="A67" s="8" t="s">
        <v>88</v>
      </c>
      <c r="B67" s="16" t="b">
        <f aca="false">AND(D67=TRUE(),E67=TRUE())</f>
        <v>0</v>
      </c>
      <c r="C67" s="17" t="s">
        <v>230</v>
      </c>
      <c r="D67" s="16" t="b">
        <f aca="false">AND(INDEX(C:C, MATCH("Family Crest", AJ:AJ, 0)) = "Y",INDEX(C:C, MATCH("Heroes Quest", AJ:AJ, 0)) = "Y",INDEX(C:C, MATCH("Shilo Village", AJ:AJ, 0)) = "Y",INDEX(C:C, MATCH("Underground Pass", AJ:AJ, 0)) = "Y",INDEX(C:C, MATCH("Waterfall Quest", AJ:AJ, 0)) = "Y")</f>
        <v>0</v>
      </c>
      <c r="E67" s="16" t="b">
        <f aca="false">SUMPRODUCT((F67:AD67 &lt;&gt; "") * (F67:AD67 &lt;= F$2:AD$2)) = 11</f>
        <v>0</v>
      </c>
      <c r="F67" s="18" t="n">
        <v>50</v>
      </c>
      <c r="G67" s="18"/>
      <c r="H67" s="18"/>
      <c r="I67" s="18"/>
      <c r="J67" s="18" t="n">
        <v>50</v>
      </c>
      <c r="K67" s="18"/>
      <c r="L67" s="18"/>
      <c r="M67" s="18"/>
      <c r="N67" s="18"/>
      <c r="O67" s="18"/>
      <c r="P67" s="18" t="n">
        <v>45</v>
      </c>
      <c r="Q67" s="18"/>
      <c r="R67" s="18" t="n">
        <v>56</v>
      </c>
      <c r="S67" s="18" t="n">
        <v>52</v>
      </c>
      <c r="T67" s="18" t="n">
        <v>42</v>
      </c>
      <c r="U67" s="18"/>
      <c r="V67" s="18"/>
      <c r="W67" s="19"/>
      <c r="X67" s="18"/>
      <c r="Y67" s="18" t="n">
        <v>50</v>
      </c>
      <c r="Z67" s="18" t="n">
        <v>50</v>
      </c>
      <c r="AA67" s="18" t="n">
        <v>50</v>
      </c>
      <c r="AB67" s="18" t="n">
        <v>50</v>
      </c>
      <c r="AC67" s="18" t="n">
        <v>107</v>
      </c>
      <c r="AD67" s="18"/>
      <c r="AE67" s="7" t="n">
        <f aca="false">SUMPRODUCT((F67:AA67 - $F$2:$AA$2) * ((F67:AA67 - $F$2:$AA$2) &gt; 0))</f>
        <v>6</v>
      </c>
      <c r="AF67" s="7"/>
      <c r="AG67" s="7"/>
      <c r="AH67" s="7"/>
      <c r="AI67" s="20"/>
      <c r="AJ67" s="8" t="s">
        <v>88</v>
      </c>
      <c r="AK67" s="21" t="str">
        <f aca="false">IFERROR(ADDRESS(MATCH(AJ67, $A$5:$A$180, 0) + 4, COLUMN(A63)), "Not Found")</f>
        <v>$A$67</v>
      </c>
    </row>
    <row r="68" customFormat="false" ht="17.35" hidden="false" customHeight="false" outlineLevel="0" collapsed="false">
      <c r="A68" s="8" t="s">
        <v>89</v>
      </c>
      <c r="B68" s="16" t="b">
        <f aca="false">TRUE()</f>
        <v>1</v>
      </c>
      <c r="C68" s="17" t="s">
        <v>229</v>
      </c>
      <c r="D68" s="16" t="b">
        <f aca="false">TRUE()</f>
        <v>1</v>
      </c>
      <c r="E68" s="16" t="b">
        <f aca="false">SUMPRODUCT((F68:AD68 &lt;&gt; "") * (F68:AD68 &lt;= F$2:AD$2)) = 2</f>
        <v>1</v>
      </c>
      <c r="F68" s="18"/>
      <c r="G68" s="18"/>
      <c r="H68" s="18"/>
      <c r="I68" s="18"/>
      <c r="J68" s="18" t="n">
        <v>31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9"/>
      <c r="X68" s="18"/>
      <c r="Y68" s="18"/>
      <c r="Z68" s="18"/>
      <c r="AA68" s="18"/>
      <c r="AB68" s="18" t="n">
        <v>36</v>
      </c>
      <c r="AC68" s="18"/>
      <c r="AD68" s="18"/>
      <c r="AE68" s="7" t="n">
        <f aca="false">SUMPRODUCT((F68:AA68 - $F$2:$AA$2) * ((F68:AA68 - $F$2:$AA$2) &gt; 0))</f>
        <v>0</v>
      </c>
      <c r="AF68" s="7"/>
      <c r="AG68" s="7"/>
      <c r="AH68" s="7"/>
      <c r="AI68" s="20"/>
      <c r="AJ68" s="8" t="s">
        <v>89</v>
      </c>
      <c r="AK68" s="21" t="str">
        <f aca="false">IFERROR(ADDRESS(MATCH(AJ68, $A$5:$A$180, 0) + 4, COLUMN(A64)), "Not Found")</f>
        <v>$A$68</v>
      </c>
    </row>
    <row r="69" customFormat="false" ht="17.4" hidden="false" customHeight="false" outlineLevel="0" collapsed="false">
      <c r="A69" s="9" t="s">
        <v>242</v>
      </c>
      <c r="B69" s="16" t="b">
        <f aca="false">AND(D69=TRUE(),E69=TRUE())</f>
        <v>1</v>
      </c>
      <c r="C69" s="17" t="s">
        <v>230</v>
      </c>
      <c r="D69" s="16" t="b">
        <f aca="false">AND(INDEX(C:C, MATCH("Rune Mysteries", AJ:AJ, 0)) = "Y",INDEX(C:C, MATCH("Goblin Diplomacy", AJ:AJ, 0)) = "Y")</f>
        <v>1</v>
      </c>
      <c r="E69" s="16" t="b">
        <f aca="false">SUMPRODUCT((F69:AD69 &lt;&gt; "") * (F69:AD69 &lt;= F$2:AD$2)) = 3</f>
        <v>1</v>
      </c>
      <c r="F69" s="18" t="n">
        <v>13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n">
        <v>17</v>
      </c>
      <c r="T69" s="18"/>
      <c r="U69" s="18"/>
      <c r="V69" s="18"/>
      <c r="W69" s="19"/>
      <c r="X69" s="25"/>
      <c r="Y69" s="18"/>
      <c r="Z69" s="18"/>
      <c r="AA69" s="18" t="n">
        <v>13</v>
      </c>
      <c r="AB69" s="18"/>
      <c r="AC69" s="18"/>
      <c r="AD69" s="18"/>
      <c r="AE69" s="7" t="n">
        <f aca="false">SUMPRODUCT((F69:AA69 - $F$2:$AA$2) * ((F69:AA69 - $F$2:$AA$2) &gt; 0))</f>
        <v>0</v>
      </c>
      <c r="AF69" s="7"/>
      <c r="AG69" s="7"/>
      <c r="AH69" s="7"/>
      <c r="AI69" s="20"/>
      <c r="AJ69" s="9" t="s">
        <v>242</v>
      </c>
      <c r="AK69" s="21" t="str">
        <f aca="false">IFERROR(ADDRESS(MATCH(AJ69, $A$5:$A$180, 0) + 4, COLUMN(A65)), "Not Found")</f>
        <v>$A$69</v>
      </c>
    </row>
    <row r="70" customFormat="false" ht="17.35" hidden="false" customHeight="false" outlineLevel="0" collapsed="false">
      <c r="A70" s="8" t="s">
        <v>91</v>
      </c>
      <c r="B70" s="16" t="b">
        <f aca="false">AND(D70=TRUE(),E70=TRUE())</f>
        <v>0</v>
      </c>
      <c r="C70" s="17" t="s">
        <v>230</v>
      </c>
      <c r="D70" s="16" t="b">
        <f aca="false">AND(INDEX(C:C, MATCH("Fremennik Trials, The", AJ:AJ, 0)) = "Y",INDEX(C:C, MATCH("Lost City", AJ:AJ, 0)) = "Y",INDEX(C:C, MATCH("Shilo Village", AJ:AJ, 0)) = "Y",INDEX(C:C, MATCH("Rune Mysteries", AJ:AJ, 0)) = "Y")</f>
        <v>1</v>
      </c>
      <c r="E70" s="16" t="b">
        <f aca="false">SUMPRODUCT((F70:AD70 &lt;&gt; "") * (F70:AD70 &lt;= F$2:AD$2)) = 7</f>
        <v>0</v>
      </c>
      <c r="F70" s="18"/>
      <c r="G70" s="18"/>
      <c r="H70" s="18"/>
      <c r="I70" s="18"/>
      <c r="J70" s="18" t="n">
        <v>61</v>
      </c>
      <c r="K70" s="18" t="n">
        <v>40</v>
      </c>
      <c r="L70" s="18"/>
      <c r="M70" s="18" t="n">
        <v>49</v>
      </c>
      <c r="N70" s="18"/>
      <c r="O70" s="18"/>
      <c r="P70" s="18" t="n">
        <v>5</v>
      </c>
      <c r="Q70" s="18"/>
      <c r="R70" s="18" t="n">
        <v>65</v>
      </c>
      <c r="S70" s="18" t="n">
        <v>60</v>
      </c>
      <c r="T70" s="18"/>
      <c r="U70" s="18"/>
      <c r="V70" s="18"/>
      <c r="W70" s="19"/>
      <c r="X70" s="18"/>
      <c r="Y70" s="18"/>
      <c r="Z70" s="18"/>
      <c r="AA70" s="18"/>
      <c r="AB70" s="18" t="n">
        <v>55</v>
      </c>
      <c r="AC70" s="18"/>
      <c r="AD70" s="18"/>
      <c r="AE70" s="7" t="n">
        <f aca="false">SUMPRODUCT((F70:AA70 - $F$2:$AA$2) * ((F70:AA70 - $F$2:$AA$2) &gt; 0))</f>
        <v>20</v>
      </c>
      <c r="AF70" s="7"/>
      <c r="AG70" s="7"/>
      <c r="AH70" s="7"/>
      <c r="AI70" s="20"/>
      <c r="AJ70" s="8" t="s">
        <v>91</v>
      </c>
      <c r="AK70" s="21" t="str">
        <f aca="false">IFERROR(ADDRESS(MATCH(AJ70, $A$5:$A$180, 0) + 4, COLUMN(A66)), "Not Found")</f>
        <v>$A$70</v>
      </c>
    </row>
    <row r="71" customFormat="false" ht="17.35" hidden="false" customHeight="false" outlineLevel="0" collapsed="false">
      <c r="A71" s="8" t="s">
        <v>92</v>
      </c>
      <c r="B71" s="16" t="b">
        <f aca="false">AND(D71=TRUE(),E71=TRUE())</f>
        <v>1</v>
      </c>
      <c r="C71" s="23" t="s">
        <v>229</v>
      </c>
      <c r="D71" s="16" t="b">
        <f aca="false">AND(INDEX(C:C, MATCH("Priest in Peril", AJ:AJ, 0)) = "Y",INDEX(C:C, MATCH("Restless Ghost, The", AJ:AJ, 0)) = "Y")</f>
        <v>1</v>
      </c>
      <c r="E71" s="16" t="b">
        <f aca="false">SUMPRODUCT((F71:AD71 &lt;&gt; "") * (F71:AD71 &lt;= F$2:AD$2)) = 3</f>
        <v>1</v>
      </c>
      <c r="F71" s="18"/>
      <c r="G71" s="18"/>
      <c r="H71" s="18"/>
      <c r="I71" s="18"/>
      <c r="J71" s="18" t="n">
        <v>20</v>
      </c>
      <c r="K71" s="18"/>
      <c r="L71" s="18"/>
      <c r="M71" s="18"/>
      <c r="N71" s="18"/>
      <c r="O71" s="18"/>
      <c r="P71" s="18"/>
      <c r="Q71" s="18"/>
      <c r="R71" s="18"/>
      <c r="S71" s="18" t="n">
        <v>40</v>
      </c>
      <c r="T71" s="18"/>
      <c r="U71" s="18"/>
      <c r="V71" s="18"/>
      <c r="W71" s="19"/>
      <c r="X71" s="18"/>
      <c r="Y71" s="18" t="n">
        <v>40</v>
      </c>
      <c r="Z71" s="18"/>
      <c r="AA71" s="18"/>
      <c r="AB71" s="18"/>
      <c r="AC71" s="18"/>
      <c r="AD71" s="18"/>
      <c r="AE71" s="7" t="n">
        <f aca="false">SUMPRODUCT((F71:AA71 - $F$2:$AA$2) * ((F71:AA71 - $F$2:$AA$2) &gt; 0))</f>
        <v>0</v>
      </c>
      <c r="AF71" s="7"/>
      <c r="AG71" s="7"/>
      <c r="AH71" s="7"/>
      <c r="AI71" s="20"/>
      <c r="AJ71" s="8" t="s">
        <v>92</v>
      </c>
      <c r="AK71" s="21" t="str">
        <f aca="false">IFERROR(ADDRESS(MATCH(AJ71, $A$5:$A$180, 0) + 4, COLUMN(A67)), "Not Found")</f>
        <v>$A$71</v>
      </c>
    </row>
    <row r="72" customFormat="false" ht="17.35" hidden="false" customHeight="false" outlineLevel="0" collapsed="false">
      <c r="A72" s="8" t="s">
        <v>93</v>
      </c>
      <c r="B72" s="16" t="b">
        <f aca="false">AND(D72=TRUE(),E72=TRUE())</f>
        <v>1</v>
      </c>
      <c r="C72" s="17" t="s">
        <v>229</v>
      </c>
      <c r="D72" s="16" t="b">
        <f aca="false">TRUE()</f>
        <v>1</v>
      </c>
      <c r="E72" s="16" t="b">
        <f aca="false">SUMPRODUCT((F72:AD72 &lt;&gt; "") * (F72:AD72 &lt;= F$2:AD$2)) = 0</f>
        <v>1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9"/>
      <c r="X72" s="18"/>
      <c r="Y72" s="18"/>
      <c r="Z72" s="18"/>
      <c r="AA72" s="18"/>
      <c r="AB72" s="18"/>
      <c r="AC72" s="18"/>
      <c r="AD72" s="18"/>
      <c r="AE72" s="7" t="n">
        <f aca="false">SUMPRODUCT((F72:AA72 - $F$2:$AA$2) * ((F72:AA72 - $F$2:$AA$2) &gt; 0))</f>
        <v>0</v>
      </c>
      <c r="AF72" s="7"/>
      <c r="AG72" s="7"/>
      <c r="AH72" s="7"/>
      <c r="AI72" s="20"/>
      <c r="AJ72" s="8" t="s">
        <v>93</v>
      </c>
      <c r="AK72" s="21" t="str">
        <f aca="false">IFERROR(ADDRESS(MATCH(AJ72, $A$5:$A$180, 0) + 4, COLUMN(A68)), "Not Found")</f>
        <v>$A$72</v>
      </c>
    </row>
    <row r="73" customFormat="false" ht="17.35" hidden="false" customHeight="false" outlineLevel="0" collapsed="false">
      <c r="A73" s="8" t="s">
        <v>94</v>
      </c>
      <c r="B73" s="16" t="b">
        <f aca="false">AND(D73=TRUE(),E73=TRUE())</f>
        <v>1</v>
      </c>
      <c r="C73" s="17" t="s">
        <v>229</v>
      </c>
      <c r="D73" s="16" t="b">
        <f aca="false">AND(INDEX(C:C, MATCH("Tree Gnome Village", AJ:AJ, 0)) = "Y",INDEX(C:C, MATCH("Grand Tree, The", AJ:AJ, 0)) = "Y")</f>
        <v>1</v>
      </c>
      <c r="E73" s="16" t="b">
        <f aca="false">SUMPRODUCT((F73:AD73 &lt;&gt; "") * (F73:AD73 &lt;= F$2:AD$2)) = 0</f>
        <v>1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9"/>
      <c r="X73" s="18"/>
      <c r="Y73" s="18"/>
      <c r="Z73" s="18"/>
      <c r="AA73" s="18"/>
      <c r="AB73" s="18"/>
      <c r="AC73" s="18"/>
      <c r="AD73" s="18"/>
      <c r="AE73" s="7" t="n">
        <f aca="false">SUMPRODUCT((F73:AA73 - $F$2:$AA$2) * ((F73:AA73 - $F$2:$AA$2) &gt; 0))</f>
        <v>0</v>
      </c>
      <c r="AF73" s="7"/>
      <c r="AG73" s="7"/>
      <c r="AH73" s="7"/>
      <c r="AI73" s="20"/>
      <c r="AJ73" s="8" t="s">
        <v>94</v>
      </c>
      <c r="AK73" s="21" t="str">
        <f aca="false">IFERROR(ADDRESS(MATCH(AJ73, $A$5:$A$180, 0) + 4, COLUMN(A69)), "Not Found")</f>
        <v>$A$73</v>
      </c>
    </row>
    <row r="74" customFormat="false" ht="17.35" hidden="false" customHeight="false" outlineLevel="0" collapsed="false">
      <c r="A74" s="8" t="s">
        <v>95</v>
      </c>
      <c r="B74" s="16" t="b">
        <f aca="false">AND(D74=TRUE(),E74=TRUE())</f>
        <v>1</v>
      </c>
      <c r="C74" s="23" t="s">
        <v>229</v>
      </c>
      <c r="D74" s="16" t="b">
        <f aca="false">TRUE()</f>
        <v>1</v>
      </c>
      <c r="E74" s="16" t="b">
        <f aca="false">SUMPRODUCT((F74:AD74 &lt;&gt; "") * (F74:AD74 &lt;= F$2:AD$2)) = 0</f>
        <v>1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9"/>
      <c r="X74" s="18"/>
      <c r="Y74" s="18"/>
      <c r="Z74" s="18"/>
      <c r="AA74" s="18"/>
      <c r="AB74" s="18"/>
      <c r="AC74" s="18"/>
      <c r="AD74" s="18"/>
      <c r="AE74" s="7" t="n">
        <f aca="false">SUMPRODUCT((F74:AA74 - $F$2:$AA$2) * ((F74:AA74 - $F$2:$AA$2) &gt; 0))</f>
        <v>0</v>
      </c>
      <c r="AF74" s="7"/>
      <c r="AG74" s="7"/>
      <c r="AH74" s="7"/>
      <c r="AI74" s="20"/>
      <c r="AJ74" s="8" t="s">
        <v>95</v>
      </c>
      <c r="AK74" s="21" t="str">
        <f aca="false">IFERROR(ADDRESS(MATCH(AJ74, $A$5:$A$180, 0) + 4, COLUMN(A70)), "Not Found")</f>
        <v>$A$74</v>
      </c>
    </row>
    <row r="75" customFormat="false" ht="17.35" hidden="false" customHeight="false" outlineLevel="0" collapsed="false">
      <c r="A75" s="8" t="s">
        <v>96</v>
      </c>
      <c r="B75" s="16" t="b">
        <f aca="false">AND(D75=TRUE(),E75=TRUE())</f>
        <v>1</v>
      </c>
      <c r="C75" s="17" t="s">
        <v>230</v>
      </c>
      <c r="D75" s="16" t="b">
        <f aca="false">TRUE()</f>
        <v>1</v>
      </c>
      <c r="E75" s="16" t="b">
        <f aca="false">SUMPRODUCT((F75:AD75 &lt;&gt; "") * (F75:AD75 &lt;= F$2:AD$2)) = 1</f>
        <v>1</v>
      </c>
      <c r="F75" s="18" t="n">
        <v>20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9"/>
      <c r="X75" s="18"/>
      <c r="Y75" s="18"/>
      <c r="Z75" s="18"/>
      <c r="AA75" s="18"/>
      <c r="AB75" s="18"/>
      <c r="AC75" s="18"/>
      <c r="AD75" s="18"/>
      <c r="AE75" s="7" t="n">
        <f aca="false">SUMPRODUCT((F75:AA75 - $F$2:$AA$2) * ((F75:AA75 - $F$2:$AA$2) &gt; 0))</f>
        <v>0</v>
      </c>
      <c r="AG75" s="7"/>
      <c r="AH75" s="7"/>
      <c r="AI75" s="20"/>
      <c r="AJ75" s="8" t="s">
        <v>96</v>
      </c>
      <c r="AK75" s="21" t="str">
        <f aca="false">IFERROR(ADDRESS(MATCH(AJ75, $A$5:$A$180, 0) + 4, COLUMN(A71)), "Not Found")</f>
        <v>$A$75</v>
      </c>
    </row>
    <row r="76" customFormat="false" ht="17.35" hidden="false" customHeight="false" outlineLevel="0" collapsed="false">
      <c r="A76" s="8" t="s">
        <v>97</v>
      </c>
      <c r="B76" s="16" t="b">
        <f aca="false">AND(D76=TRUE(),E76=TRUE())</f>
        <v>0</v>
      </c>
      <c r="C76" s="17" t="s">
        <v>230</v>
      </c>
      <c r="D76" s="16" t="b">
        <f aca="false">AND(INDEX(C:C, MATCH("Sheep Herder", AJ:AJ, 0)) = "Y",INDEX(C:C, MATCH("Roving Elves", AJ:AJ, 0)) = "Y",INDEX(C:C, MATCH("big chompy bird hunting", AJ:AJ, 0)) = "Y")</f>
        <v>0</v>
      </c>
      <c r="E76" s="16" t="b">
        <f aca="false">SUMPRODUCT((F76:AD76 &lt;&gt; "") * (F76:AD76 &lt;= F$2:AD$2)) = 2</f>
        <v>1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 t="n">
        <v>60</v>
      </c>
      <c r="V76" s="18"/>
      <c r="W76" s="19"/>
      <c r="X76" s="18"/>
      <c r="Y76" s="18"/>
      <c r="Z76" s="18"/>
      <c r="AA76" s="18" t="n">
        <v>50</v>
      </c>
      <c r="AB76" s="18"/>
      <c r="AC76" s="18"/>
      <c r="AD76" s="18"/>
      <c r="AE76" s="7" t="n">
        <f aca="false">SUMPRODUCT((F76:AA76 - $F$2:$AA$2) * ((F76:AA76 - $F$2:$AA$2) &gt; 0))</f>
        <v>0</v>
      </c>
      <c r="AF76" s="7"/>
      <c r="AG76" s="7"/>
      <c r="AH76" s="7"/>
      <c r="AI76" s="20"/>
      <c r="AJ76" s="8" t="s">
        <v>97</v>
      </c>
      <c r="AK76" s="21" t="str">
        <f aca="false">IFERROR(ADDRESS(MATCH(AJ76, $A$5:$A$180, 0) + 4, COLUMN(A72)), "Not Found")</f>
        <v>$A$76</v>
      </c>
    </row>
    <row r="77" customFormat="false" ht="17.35" hidden="false" customHeight="false" outlineLevel="0" collapsed="false">
      <c r="A77" s="8" t="s">
        <v>98</v>
      </c>
      <c r="B77" s="16" t="b">
        <f aca="false">AND(D77=TRUE(),E77=TRUE())</f>
        <v>0</v>
      </c>
      <c r="C77" s="17" t="s">
        <v>230</v>
      </c>
      <c r="D77" s="16" t="b">
        <f aca="false">AND(INDEX(C:C, MATCH("Mourning's Ends Part I", AJ:AJ, 0)) = "Y")</f>
        <v>0</v>
      </c>
      <c r="E77" s="16" t="b">
        <f aca="false">SUMPRODUCT((F77:AD77 &lt;&gt; "") * (F77:AD77 &lt;= F$2:AD$2)) = 2</f>
        <v>0</v>
      </c>
      <c r="F77" s="18" t="n">
        <v>60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 t="n">
        <v>43</v>
      </c>
      <c r="U77" s="18"/>
      <c r="V77" s="18"/>
      <c r="W77" s="19"/>
      <c r="X77" s="18"/>
      <c r="Y77" s="18"/>
      <c r="Z77" s="18"/>
      <c r="AA77" s="18"/>
      <c r="AB77" s="18"/>
      <c r="AC77" s="18"/>
      <c r="AD77" s="18"/>
      <c r="AE77" s="7" t="n">
        <f aca="false">SUMPRODUCT((F77:AA77 - $F$2:$AA$2) * ((F77:AA77 - $F$2:$AA$2) &gt; 0))</f>
        <v>15</v>
      </c>
      <c r="AF77" s="7"/>
      <c r="AG77" s="7"/>
      <c r="AH77" s="7"/>
      <c r="AI77" s="20"/>
      <c r="AJ77" s="8" t="s">
        <v>98</v>
      </c>
      <c r="AK77" s="21" t="str">
        <f aca="false">IFERROR(ADDRESS(MATCH(AJ77, $A$5:$A$180, 0) + 4, COLUMN(A73)), "Not Found")</f>
        <v>$A$77</v>
      </c>
    </row>
    <row r="78" customFormat="false" ht="17.35" hidden="false" customHeight="false" outlineLevel="0" collapsed="false">
      <c r="A78" s="8" t="s">
        <v>99</v>
      </c>
      <c r="B78" s="16" t="b">
        <f aca="false">AND(D78=TRUE(),E78=TRUE())</f>
        <v>1</v>
      </c>
      <c r="C78" s="17" t="s">
        <v>229</v>
      </c>
      <c r="D78" s="16" t="b">
        <f aca="false">TRUE()</f>
        <v>1</v>
      </c>
      <c r="E78" s="16" t="b">
        <f aca="false">SUMPRODUCT((F78:AD78 &lt;&gt; "") * (F78:AD78 &lt;= F$2:AD$2)) = 0</f>
        <v>1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9"/>
      <c r="X78" s="18"/>
      <c r="Y78" s="18"/>
      <c r="Z78" s="18"/>
      <c r="AA78" s="18"/>
      <c r="AB78" s="18"/>
      <c r="AC78" s="18"/>
      <c r="AD78" s="18"/>
      <c r="AE78" s="7" t="n">
        <f aca="false">SUMPRODUCT((F78:AA78 - $F$2:$AA$2) * ((F78:AA78 - $F$2:$AA$2) &gt; 0))</f>
        <v>0</v>
      </c>
      <c r="AF78" s="7"/>
      <c r="AG78" s="7"/>
      <c r="AH78" s="7"/>
      <c r="AI78" s="20"/>
      <c r="AJ78" s="8" t="s">
        <v>99</v>
      </c>
      <c r="AK78" s="21" t="str">
        <f aca="false">IFERROR(ADDRESS(MATCH(AJ78, $A$5:$A$180, 0) + 4, COLUMN(A74)), "Not Found")</f>
        <v>$A$78</v>
      </c>
    </row>
    <row r="79" customFormat="false" ht="17.35" hidden="false" customHeight="false" outlineLevel="0" collapsed="false">
      <c r="A79" s="8" t="s">
        <v>100</v>
      </c>
      <c r="B79" s="16" t="b">
        <f aca="false">AND(D79=TRUE(),E79=TRUE())</f>
        <v>0</v>
      </c>
      <c r="C79" s="17" t="s">
        <v>230</v>
      </c>
      <c r="D79" s="16" t="b">
        <f aca="false">AND(INDEX(C:C, MATCH("Jungle Potion", AJ:AJ, 0)) = "Y",INDEX(C:C, MATCH("Feud, The", AJ:AJ, 0)) = "Y",INDEX(C:C, MATCH("Eadgar's Ruse", AJ:AJ, 0)) = "Y")</f>
        <v>0</v>
      </c>
      <c r="E79" s="16" t="b">
        <f aca="false">SUMPRODUCT((F79:AD79 &lt;&gt; "") * (F79:AD79 &lt;= F$2:AD$2)) = 2</f>
        <v>1</v>
      </c>
      <c r="F79" s="18"/>
      <c r="G79" s="18"/>
      <c r="H79" s="18"/>
      <c r="I79" s="18"/>
      <c r="J79" s="18"/>
      <c r="K79" s="18"/>
      <c r="L79" s="18" t="n">
        <v>29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9"/>
      <c r="X79" s="18"/>
      <c r="Y79" s="18"/>
      <c r="Z79" s="18"/>
      <c r="AA79" s="18"/>
      <c r="AB79" s="18" t="n">
        <v>10</v>
      </c>
      <c r="AC79" s="18"/>
      <c r="AD79" s="18"/>
      <c r="AE79" s="7" t="n">
        <f aca="false">SUMPRODUCT((F79:AA79 - $F$2:$AA$2) * ((F79:AA79 - $F$2:$AA$2) &gt; 0))</f>
        <v>0</v>
      </c>
      <c r="AF79" s="7"/>
      <c r="AG79" s="7"/>
      <c r="AH79" s="7"/>
      <c r="AI79" s="20"/>
      <c r="AJ79" s="8" t="s">
        <v>100</v>
      </c>
      <c r="AK79" s="21" t="str">
        <f aca="false">IFERROR(ADDRESS(MATCH(AJ79, $A$5:$A$180, 0) + 4, COLUMN(A75)), "Not Found")</f>
        <v>$A$79</v>
      </c>
    </row>
    <row r="80" customFormat="false" ht="17.35" hidden="false" customHeight="false" outlineLevel="0" collapsed="false">
      <c r="A80" s="8" t="s">
        <v>101</v>
      </c>
      <c r="B80" s="16" t="b">
        <f aca="false">TRUE()</f>
        <v>1</v>
      </c>
      <c r="C80" s="17" t="s">
        <v>229</v>
      </c>
      <c r="D80" s="16" t="b">
        <f aca="false">AND(INDEX(C:C, MATCH("Priest in Peril", AJ:AJ, 0)) = "Y",INDEX(C:C, MATCH("Restless Ghost, The", AJ:AJ, 0)) = "Y")</f>
        <v>1</v>
      </c>
      <c r="E80" s="16" t="b">
        <f aca="false">SUMPRODUCT((F80:AD80 &lt;&gt; "") * (F80:AD80 &lt;= F$2:AD$2)) = 1</f>
        <v>1</v>
      </c>
      <c r="F80" s="18"/>
      <c r="G80" s="18"/>
      <c r="H80" s="18"/>
      <c r="I80" s="18"/>
      <c r="J80" s="18" t="n">
        <v>18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9"/>
      <c r="X80" s="18"/>
      <c r="Y80" s="18"/>
      <c r="Z80" s="18"/>
      <c r="AA80" s="18"/>
      <c r="AB80" s="18"/>
      <c r="AC80" s="18"/>
      <c r="AD80" s="18"/>
      <c r="AE80" s="7" t="n">
        <f aca="false">SUMPRODUCT((F80:AA80 - $F$2:$AA$2) * ((F80:AA80 - $F$2:$AA$2) &gt; 0))</f>
        <v>0</v>
      </c>
      <c r="AF80" s="7"/>
      <c r="AG80" s="7"/>
      <c r="AH80" s="7"/>
      <c r="AI80" s="20"/>
      <c r="AJ80" s="8" t="s">
        <v>101</v>
      </c>
      <c r="AK80" s="21" t="str">
        <f aca="false">IFERROR(ADDRESS(MATCH(AJ80, $A$5:$A$180, 0) + 4, COLUMN(A76)), "Not Found")</f>
        <v>$A$80</v>
      </c>
    </row>
    <row r="81" customFormat="false" ht="17.35" hidden="false" customHeight="false" outlineLevel="0" collapsed="false">
      <c r="A81" s="8" t="s">
        <v>102</v>
      </c>
      <c r="B81" s="16" t="b">
        <f aca="false">AND(D81=TRUE(),E81=TRUE())</f>
        <v>1</v>
      </c>
      <c r="C81" s="23" t="s">
        <v>229</v>
      </c>
      <c r="D81" s="16" t="b">
        <f aca="false">TRUE()</f>
        <v>1</v>
      </c>
      <c r="E81" s="16" t="b">
        <f aca="false">SUMPRODUCT((F81:AD81 &lt;&gt; "") * (F81:AD81 &lt;= F$2:AD$2)) = 1</f>
        <v>1</v>
      </c>
      <c r="F81" s="18"/>
      <c r="G81" s="18"/>
      <c r="H81" s="18"/>
      <c r="I81" s="18"/>
      <c r="J81" s="18" t="n">
        <v>10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9"/>
      <c r="X81" s="18"/>
      <c r="Y81" s="18"/>
      <c r="Z81" s="18"/>
      <c r="AA81" s="18"/>
      <c r="AB81" s="18"/>
      <c r="AC81" s="18"/>
      <c r="AD81" s="18"/>
      <c r="AE81" s="7" t="n">
        <f aca="false">SUMPRODUCT((F81:AA81 - $F$2:$AA$2) * ((F81:AA81 - $F$2:$AA$2) &gt; 0))</f>
        <v>0</v>
      </c>
      <c r="AF81" s="7"/>
      <c r="AG81" s="7"/>
      <c r="AH81" s="7"/>
      <c r="AI81" s="20"/>
      <c r="AJ81" s="8" t="s">
        <v>102</v>
      </c>
      <c r="AK81" s="21" t="str">
        <f aca="false">IFERROR(ADDRESS(MATCH(AJ81, $A$5:$A$180, 0) + 4, COLUMN(A77)), "Not Found")</f>
        <v>$A$81</v>
      </c>
    </row>
    <row r="82" customFormat="false" ht="17.35" hidden="false" customHeight="false" outlineLevel="0" collapsed="false">
      <c r="A82" s="8" t="s">
        <v>103</v>
      </c>
      <c r="B82" s="16" t="b">
        <f aca="false">AND(D82=TRUE(),E82=TRUE())</f>
        <v>1</v>
      </c>
      <c r="C82" s="23" t="s">
        <v>229</v>
      </c>
      <c r="D82" s="16" t="b">
        <f aca="false">AND(INDEX(C:C, MATCH("Fremennik Trials, The", AJ:AJ, 0)) = "Y")</f>
        <v>1</v>
      </c>
      <c r="E82" s="16" t="b">
        <f aca="false">SUMPRODUCT((F82:AD82 &lt;&gt; "") * (F82:AD82 &lt;= F$2:AD$2)) = 2</f>
        <v>1</v>
      </c>
      <c r="F82" s="18"/>
      <c r="G82" s="18"/>
      <c r="H82" s="18"/>
      <c r="I82" s="18"/>
      <c r="J82" s="18"/>
      <c r="K82" s="18"/>
      <c r="L82" s="18" t="n">
        <v>40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9"/>
      <c r="X82" s="18"/>
      <c r="Y82" s="18"/>
      <c r="Z82" s="18"/>
      <c r="AA82" s="18"/>
      <c r="AB82" s="18" t="n">
        <v>50</v>
      </c>
      <c r="AC82" s="18"/>
      <c r="AD82" s="18"/>
      <c r="AE82" s="7" t="n">
        <f aca="false">SUMPRODUCT((F82:AA82 - $F$2:$AA$2) * ((F82:AA82 - $F$2:$AA$2) &gt; 0))</f>
        <v>0</v>
      </c>
      <c r="AF82" s="7"/>
      <c r="AG82" s="7"/>
      <c r="AH82" s="7"/>
      <c r="AI82" s="20"/>
      <c r="AJ82" s="8" t="s">
        <v>103</v>
      </c>
      <c r="AK82" s="21" t="str">
        <f aca="false">IFERROR(ADDRESS(MATCH(AJ82, $A$5:$A$180, 0) + 4, COLUMN(A78)), "Not Found")</f>
        <v>$A$82</v>
      </c>
    </row>
    <row r="83" customFormat="false" ht="17.35" hidden="false" customHeight="false" outlineLevel="0" collapsed="false">
      <c r="A83" s="8" t="s">
        <v>104</v>
      </c>
      <c r="B83" s="16" t="b">
        <f aca="false">AND(D83=TRUE(),E83=TRUE())</f>
        <v>1</v>
      </c>
      <c r="C83" s="17" t="s">
        <v>229</v>
      </c>
      <c r="D83" s="16" t="b">
        <f aca="false">AND(INDEX(C:C, MATCH("Rune Mysteries", AJ:AJ, 0)) = "Y",INDEX(C:C, MATCH("Shilo Village", AJ:AJ, 0)) = "Y",INDEX(C:C, MATCH("Druidic Ritual", AJ:AJ, 0)) = "Y")</f>
        <v>1</v>
      </c>
      <c r="E83" s="16" t="n">
        <f aca="false">SUMPRODUCT((F83:AD83 &lt;&gt; "") * (F83:AD83 &lt;= F$2:AD$2)) = 4</f>
        <v>1</v>
      </c>
      <c r="F83" s="18" t="n">
        <v>36</v>
      </c>
      <c r="G83" s="18"/>
      <c r="H83" s="18"/>
      <c r="I83" s="18"/>
      <c r="J83" s="18" t="n">
        <v>25</v>
      </c>
      <c r="K83" s="18"/>
      <c r="L83" s="18"/>
      <c r="M83" s="18"/>
      <c r="N83" s="18"/>
      <c r="O83" s="18"/>
      <c r="P83" s="18" t="n">
        <v>18</v>
      </c>
      <c r="Q83" s="18"/>
      <c r="R83" s="18"/>
      <c r="S83" s="18"/>
      <c r="T83" s="18"/>
      <c r="U83" s="18"/>
      <c r="V83" s="18"/>
      <c r="W83" s="19"/>
      <c r="X83" s="18"/>
      <c r="Y83" s="18" t="n">
        <v>30</v>
      </c>
      <c r="Z83" s="18"/>
      <c r="AA83" s="18"/>
      <c r="AB83" s="18"/>
      <c r="AC83" s="18"/>
      <c r="AD83" s="18"/>
      <c r="AE83" s="7" t="n">
        <f aca="false">SUMPRODUCT((F83:AA83 - $F$2:$AA$2) * ((F83:AA83 - $F$2:$AA$2) &gt; 0))</f>
        <v>0</v>
      </c>
      <c r="AF83" s="7"/>
      <c r="AG83" s="7"/>
      <c r="AH83" s="7"/>
      <c r="AI83" s="20"/>
      <c r="AJ83" s="8" t="s">
        <v>104</v>
      </c>
      <c r="AK83" s="21" t="str">
        <f aca="false">IFERROR(ADDRESS(MATCH(AJ83, $A$5:$A$180, 0) + 4, COLUMN(A79)), "Not Found")</f>
        <v>$A$83</v>
      </c>
    </row>
    <row r="84" customFormat="false" ht="17.35" hidden="false" customHeight="false" outlineLevel="0" collapsed="false">
      <c r="A84" s="8" t="s">
        <v>105</v>
      </c>
      <c r="B84" s="16" t="b">
        <f aca="false">AND(D84=TRUE(),E84=TRUE())</f>
        <v>1</v>
      </c>
      <c r="C84" s="17" t="s">
        <v>229</v>
      </c>
      <c r="D84" s="16" t="b">
        <f aca="false">TRUE()</f>
        <v>1</v>
      </c>
      <c r="E84" s="16" t="b">
        <f aca="false">SUMPRODUCT((F84:AD84 &lt;&gt; "") * (F84:AD84 &lt;= F$2:AD$2)) = 0</f>
        <v>1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9"/>
      <c r="X84" s="18"/>
      <c r="Y84" s="18"/>
      <c r="Z84" s="18"/>
      <c r="AA84" s="18"/>
      <c r="AB84" s="18"/>
      <c r="AC84" s="18"/>
      <c r="AD84" s="18"/>
      <c r="AE84" s="7" t="n">
        <f aca="false">SUMPRODUCT((F84:AA84 - $F$2:$AA$2) * ((F84:AA84 - $F$2:$AA$2) &gt; 0))</f>
        <v>0</v>
      </c>
      <c r="AF84" s="7"/>
      <c r="AG84" s="7"/>
      <c r="AH84" s="7"/>
      <c r="AI84" s="20"/>
      <c r="AJ84" s="8" t="s">
        <v>105</v>
      </c>
      <c r="AK84" s="21" t="str">
        <f aca="false">IFERROR(ADDRESS(MATCH(AJ84, $A$5:$A$180, 0) + 4, COLUMN(A80)), "Not Found")</f>
        <v>$A$84</v>
      </c>
    </row>
    <row r="85" customFormat="false" ht="17.35" hidden="false" customHeight="false" outlineLevel="0" collapsed="false">
      <c r="A85" s="8" t="s">
        <v>106</v>
      </c>
      <c r="B85" s="16" t="b">
        <f aca="false">AND(D85=TRUE(),E85=TRUE())</f>
        <v>1</v>
      </c>
      <c r="C85" s="17" t="s">
        <v>229</v>
      </c>
      <c r="D85" s="16" t="b">
        <f aca="false">TRUE()</f>
        <v>1</v>
      </c>
      <c r="E85" s="16" t="b">
        <f aca="false">SUMPRODUCT((F85:AD85 &lt;&gt; "") * (F85:AD85 &lt;= F$2:AD$2)) = 0</f>
        <v>1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9"/>
      <c r="X85" s="18"/>
      <c r="Y85" s="18"/>
      <c r="Z85" s="18"/>
      <c r="AA85" s="18"/>
      <c r="AB85" s="18"/>
      <c r="AC85" s="18"/>
      <c r="AD85" s="18"/>
      <c r="AE85" s="7" t="n">
        <f aca="false">SUMPRODUCT((F85:AA85 - $F$2:$AA$2) * ((F85:AA85 - $F$2:$AA$2) &gt; 0))</f>
        <v>0</v>
      </c>
      <c r="AF85" s="7"/>
      <c r="AG85" s="7"/>
      <c r="AH85" s="7"/>
      <c r="AI85" s="20"/>
      <c r="AJ85" s="8" t="s">
        <v>106</v>
      </c>
      <c r="AK85" s="21" t="str">
        <f aca="false">IFERROR(ADDRESS(MATCH(AJ85, $A$5:$A$180, 0) + 4, COLUMN(A81)), "Not Found")</f>
        <v>$A$85</v>
      </c>
    </row>
    <row r="86" customFormat="false" ht="17.35" hidden="false" customHeight="false" outlineLevel="0" collapsed="false">
      <c r="A86" s="8" t="s">
        <v>107</v>
      </c>
      <c r="B86" s="16" t="b">
        <f aca="false">AND(D86=TRUE(),E86=TRUE())</f>
        <v>1</v>
      </c>
      <c r="C86" s="17" t="s">
        <v>229</v>
      </c>
      <c r="D86" s="16" t="b">
        <f aca="false">TRUE()</f>
        <v>1</v>
      </c>
      <c r="E86" s="16" t="b">
        <f aca="false">SUMPRODUCT((F86:AD86 &lt;&gt; "") * (F86:AD86 &lt;= F$2:AD$2)) = 0</f>
        <v>1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9"/>
      <c r="X86" s="18"/>
      <c r="Y86" s="18"/>
      <c r="Z86" s="18"/>
      <c r="AA86" s="18"/>
      <c r="AB86" s="18"/>
      <c r="AC86" s="18"/>
      <c r="AD86" s="18"/>
      <c r="AE86" s="7" t="n">
        <f aca="false">SUMPRODUCT((F86:AA86 - $F$2:$AA$2) * ((F86:AA86 - $F$2:$AA$2) &gt; 0))</f>
        <v>0</v>
      </c>
      <c r="AF86" s="7"/>
      <c r="AG86" s="7"/>
      <c r="AH86" s="7"/>
      <c r="AI86" s="20"/>
      <c r="AJ86" s="8" t="s">
        <v>107</v>
      </c>
      <c r="AK86" s="21" t="str">
        <f aca="false">IFERROR(ADDRESS(MATCH(AJ86, $A$5:$A$180, 0) + 4, COLUMN(A82)), "Not Found")</f>
        <v>$A$86</v>
      </c>
    </row>
    <row r="87" customFormat="false" ht="17.35" hidden="false" customHeight="false" outlineLevel="0" collapsed="false">
      <c r="A87" s="8" t="s">
        <v>108</v>
      </c>
      <c r="B87" s="16" t="b">
        <f aca="false">AND(D87=TRUE(),E87=TRUE())</f>
        <v>1</v>
      </c>
      <c r="C87" s="17" t="s">
        <v>229</v>
      </c>
      <c r="D87" s="16" t="b">
        <f aca="false">TRUE()</f>
        <v>1</v>
      </c>
      <c r="E87" s="16" t="b">
        <f aca="false">SUMPRODUCT((F87:AD87 &lt;&gt; "") * (F87:AD87 &lt;= F$2:AD$2)) = 0</f>
        <v>1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9"/>
      <c r="X87" s="18"/>
      <c r="Y87" s="18"/>
      <c r="Z87" s="18"/>
      <c r="AA87" s="18"/>
      <c r="AB87" s="18"/>
      <c r="AC87" s="18"/>
      <c r="AD87" s="18"/>
      <c r="AE87" s="7" t="n">
        <f aca="false">SUMPRODUCT((F87:AA87 - $F$2:$AA$2) * ((F87:AA87 - $F$2:$AA$2) &gt; 0))</f>
        <v>0</v>
      </c>
      <c r="AF87" s="7"/>
      <c r="AG87" s="7"/>
      <c r="AH87" s="7"/>
      <c r="AI87" s="20"/>
      <c r="AJ87" s="8" t="s">
        <v>108</v>
      </c>
      <c r="AK87" s="21" t="str">
        <f aca="false">IFERROR(ADDRESS(MATCH(AJ87, $A$5:$A$180, 0) + 4, COLUMN(A83)), "Not Found")</f>
        <v>$A$87</v>
      </c>
    </row>
    <row r="88" customFormat="false" ht="17.35" hidden="false" customHeight="false" outlineLevel="0" collapsed="false">
      <c r="A88" s="8" t="s">
        <v>109</v>
      </c>
      <c r="B88" s="16" t="b">
        <f aca="false">AND(D88=TRUE(),E88=TRUE())</f>
        <v>1</v>
      </c>
      <c r="C88" s="23" t="s">
        <v>229</v>
      </c>
      <c r="D88" s="16" t="b">
        <f aca="false">TRUE()</f>
        <v>1</v>
      </c>
      <c r="E88" s="16" t="b">
        <f aca="false">SUMPRODUCT((F88:AD88 &lt;&gt; "") * (F88:AD88 &lt;= F$2:AD$2)) = 0</f>
        <v>1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9"/>
      <c r="X88" s="18"/>
      <c r="Y88" s="18"/>
      <c r="Z88" s="18"/>
      <c r="AA88" s="18"/>
      <c r="AB88" s="18"/>
      <c r="AC88" s="18"/>
      <c r="AD88" s="18"/>
      <c r="AE88" s="7" t="n">
        <f aca="false">SUMPRODUCT((F88:AA88 - $F$2:$AA$2) * ((F88:AA88 - $F$2:$AA$2) &gt; 0))</f>
        <v>0</v>
      </c>
      <c r="AF88" s="7"/>
      <c r="AG88" s="7"/>
      <c r="AH88" s="7"/>
      <c r="AI88" s="20"/>
      <c r="AJ88" s="8" t="s">
        <v>109</v>
      </c>
      <c r="AK88" s="21" t="str">
        <f aca="false">IFERROR(ADDRESS(MATCH(AJ88, $A$5:$A$180, 0) + 4, COLUMN(A84)), "Not Found")</f>
        <v>$A$88</v>
      </c>
    </row>
    <row r="89" customFormat="false" ht="17.35" hidden="false" customHeight="false" outlineLevel="0" collapsed="false">
      <c r="A89" s="8" t="s">
        <v>110</v>
      </c>
      <c r="B89" s="16" t="b">
        <f aca="false">AND(D89=TRUE(),E89=TRUE())</f>
        <v>1</v>
      </c>
      <c r="C89" s="17" t="s">
        <v>230</v>
      </c>
      <c r="D89" s="16" t="b">
        <f aca="false">AND(INDEX(C:C, MATCH("Icthlarin's Little Helper", AJ:AJ, 0)) = "Y",INDEX(C:C, MATCH("Gertrude's Cat", AJ:AJ, 0)) = "Y")</f>
        <v>1</v>
      </c>
      <c r="E89" s="16" t="b">
        <f aca="false">SUMPRODUCT((F89:AD89 &lt;&gt; "") * (F89:AD89 &lt;= F$2:AD$2)) = 0</f>
        <v>1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9"/>
      <c r="X89" s="18"/>
      <c r="Y89" s="18"/>
      <c r="Z89" s="18"/>
      <c r="AA89" s="18"/>
      <c r="AB89" s="18"/>
      <c r="AC89" s="18"/>
      <c r="AD89" s="18"/>
      <c r="AE89" s="7" t="n">
        <f aca="false">SUMPRODUCT((F89:AA89 - $F$2:$AA$2) * ((F89:AA89 - $F$2:$AA$2) &gt; 0))</f>
        <v>0</v>
      </c>
      <c r="AF89" s="7"/>
      <c r="AG89" s="7"/>
      <c r="AH89" s="7"/>
      <c r="AI89" s="20"/>
      <c r="AJ89" s="8" t="s">
        <v>110</v>
      </c>
      <c r="AK89" s="21" t="str">
        <f aca="false">IFERROR(ADDRESS(MATCH(AJ89, $A$5:$A$180, 0) + 4, COLUMN(A85)), "Not Found")</f>
        <v>$A$89</v>
      </c>
    </row>
    <row r="90" customFormat="false" ht="17.35" hidden="false" customHeight="false" outlineLevel="0" collapsed="false">
      <c r="A90" s="8" t="s">
        <v>111</v>
      </c>
      <c r="B90" s="16" t="b">
        <f aca="false">AND(D90=TRUE(),E90=TRUE())</f>
        <v>0</v>
      </c>
      <c r="C90" s="17" t="s">
        <v>230</v>
      </c>
      <c r="D90" s="16" t="b">
        <f aca="false">AND(INDEX(C:C,MATCH("Cook's Assistant",AJ:AJ,0))="Y")</f>
        <v>1</v>
      </c>
      <c r="E90" s="16" t="b">
        <f aca="false">SUMPRODUCT((F90:AD90 &lt;&gt; "") * (F90:AD90 &lt;= F$2:AD$2)) = 3</f>
        <v>0</v>
      </c>
      <c r="F90" s="18" t="n">
        <v>48</v>
      </c>
      <c r="G90" s="18"/>
      <c r="H90" s="18"/>
      <c r="I90" s="18" t="n">
        <v>70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9"/>
      <c r="X90" s="18"/>
      <c r="Y90" s="18"/>
      <c r="Z90" s="18"/>
      <c r="AA90" s="18"/>
      <c r="AB90" s="18"/>
      <c r="AC90" s="18" t="n">
        <v>175</v>
      </c>
      <c r="AD90" s="18"/>
      <c r="AE90" s="7" t="n">
        <f aca="false">SUMPRODUCT((F90:AA90 - $F$2:$AA$2) * ((F90:AA90 - $F$2:$AA$2) &gt; 0))</f>
        <v>7</v>
      </c>
      <c r="AF90" s="7"/>
      <c r="AG90" s="7"/>
      <c r="AH90" s="7"/>
      <c r="AI90" s="20"/>
      <c r="AJ90" s="8" t="s">
        <v>111</v>
      </c>
      <c r="AK90" s="21" t="str">
        <f aca="false">IFERROR(ADDRESS(MATCH(AJ90, $A$5:$A$180, 0) + 4, COLUMN(A86)), "Not Found")</f>
        <v>$A$90</v>
      </c>
    </row>
    <row r="91" customFormat="false" ht="17.35" hidden="false" customHeight="false" outlineLevel="0" collapsed="false">
      <c r="A91" s="8" t="s">
        <v>112</v>
      </c>
      <c r="B91" s="16" t="b">
        <f aca="false">AND(D91=TRUE(),E91=TRUE())</f>
        <v>1</v>
      </c>
      <c r="C91" s="23" t="s">
        <v>229</v>
      </c>
      <c r="D91" s="16" t="b">
        <f aca="false">AND(INDEX(C:C,MATCH("black knight's fortress",AJ:AJ,0))="y",INDEX(C:C,MATCH("druidic ritual",AJ:AJ,0))="y")</f>
        <v>1</v>
      </c>
      <c r="E91" s="16" t="b">
        <f aca="false">SUMPRODUCT((F91:AD91 &lt;&gt; "") * (F91:AD91 &lt;= F$2:AD$2)) = 0</f>
        <v>1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9"/>
      <c r="X91" s="18"/>
      <c r="Y91" s="18"/>
      <c r="Z91" s="18"/>
      <c r="AA91" s="18"/>
      <c r="AB91" s="18"/>
      <c r="AC91" s="18"/>
      <c r="AD91" s="18"/>
      <c r="AE91" s="7" t="n">
        <f aca="false">SUMPRODUCT((F91:AA91 - $F$2:$AA$2) * ((F91:AA91 - $F$2:$AA$2) &gt; 0))</f>
        <v>0</v>
      </c>
      <c r="AF91" s="7"/>
      <c r="AG91" s="7"/>
      <c r="AH91" s="7"/>
      <c r="AI91" s="20"/>
      <c r="AJ91" s="8" t="s">
        <v>112</v>
      </c>
      <c r="AK91" s="21" t="str">
        <f aca="false">IFERROR(ADDRESS(MATCH(AJ91, $A$5:$A$180, 0) + 4, COLUMN(A87)), "Not Found")</f>
        <v>$A$91</v>
      </c>
    </row>
    <row r="92" customFormat="false" ht="17.35" hidden="false" customHeight="false" outlineLevel="0" collapsed="false">
      <c r="A92" s="8" t="s">
        <v>113</v>
      </c>
      <c r="B92" s="16" t="b">
        <f aca="false">AND(D92=TRUE(),E92=TRUE())</f>
        <v>0</v>
      </c>
      <c r="C92" s="17" t="s">
        <v>230</v>
      </c>
      <c r="D92" s="16" t="b">
        <f aca="false">AND(INDEX(C:C, MATCH("Underground Pass", AJ:AJ, 0)) = "Y")</f>
        <v>0</v>
      </c>
      <c r="E92" s="16" t="b">
        <f aca="false">SUMPRODUCT((F92:AD92 &lt;&gt; "") * (F92:AD92 &lt;= F$2:AD$2)) = 1</f>
        <v>0</v>
      </c>
      <c r="F92" s="18" t="n">
        <v>56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9"/>
      <c r="X92" s="18"/>
      <c r="Y92" s="18"/>
      <c r="Z92" s="18"/>
      <c r="AA92" s="18"/>
      <c r="AB92" s="18"/>
      <c r="AC92" s="18"/>
      <c r="AD92" s="18"/>
      <c r="AE92" s="7" t="n">
        <f aca="false">SUMPRODUCT((F92:AA92 - $F$2:$AA$2) * ((F92:AA92 - $F$2:$AA$2) &gt; 0))</f>
        <v>11</v>
      </c>
      <c r="AF92" s="7"/>
      <c r="AG92" s="7"/>
      <c r="AH92" s="7"/>
      <c r="AI92" s="20"/>
      <c r="AJ92" s="8" t="s">
        <v>113</v>
      </c>
      <c r="AK92" s="21" t="str">
        <f aca="false">IFERROR(ADDRESS(MATCH(AJ92, $A$5:$A$180, 0) + 4, COLUMN(A88)), "Not Found")</f>
        <v>$A$92</v>
      </c>
    </row>
    <row r="93" customFormat="false" ht="17.4" hidden="false" customHeight="false" outlineLevel="0" collapsed="false">
      <c r="A93" s="9" t="s">
        <v>243</v>
      </c>
      <c r="B93" s="16" t="b">
        <f aca="false">AND(D93=TRUE(),E93=TRUE())</f>
        <v>1</v>
      </c>
      <c r="C93" s="17" t="s">
        <v>229</v>
      </c>
      <c r="D93" s="16" t="b">
        <f aca="false">TRUE()</f>
        <v>1</v>
      </c>
      <c r="E93" s="16" t="b">
        <f aca="false">SUMPRODUCT((F93:AD93 &lt;&gt; "") * (F93:AD93 &lt;= F$2:AD$2)) = 0</f>
        <v>1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9"/>
      <c r="X93" s="18"/>
      <c r="Y93" s="18"/>
      <c r="Z93" s="18"/>
      <c r="AA93" s="18"/>
      <c r="AB93" s="18"/>
      <c r="AC93" s="18"/>
      <c r="AD93" s="18"/>
      <c r="AE93" s="7" t="n">
        <f aca="false">SUMPRODUCT((F93:AA93 - $F$2:$AA$2) * ((F93:AA93 - $F$2:$AA$2) &gt; 0))</f>
        <v>0</v>
      </c>
      <c r="AF93" s="7"/>
      <c r="AG93" s="7"/>
      <c r="AH93" s="7"/>
      <c r="AI93" s="20"/>
      <c r="AJ93" s="9" t="s">
        <v>243</v>
      </c>
      <c r="AK93" s="21" t="str">
        <f aca="false">IFERROR(ADDRESS(MATCH(AJ93, $A$5:$A$180, 0) + 4, COLUMN(A89)), "Not Found")</f>
        <v>$A$93</v>
      </c>
    </row>
    <row r="94" customFormat="false" ht="17.35" hidden="false" customHeight="false" outlineLevel="0" collapsed="false">
      <c r="A94" s="8" t="s">
        <v>115</v>
      </c>
      <c r="B94" s="16" t="b">
        <f aca="false">AND(D94=TRUE(),E94=TRUE())</f>
        <v>1</v>
      </c>
      <c r="C94" s="17" t="s">
        <v>229</v>
      </c>
      <c r="D94" s="16" t="b">
        <f aca="false">TRUE()</f>
        <v>1</v>
      </c>
      <c r="E94" s="16" t="b">
        <f aca="false">SUMPRODUCT((F94:AD94 &lt;&gt; "") * (F94:AD94 &lt;= F$2:AD$2)) = 0</f>
        <v>1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9"/>
      <c r="X94" s="18"/>
      <c r="Y94" s="18"/>
      <c r="Z94" s="18"/>
      <c r="AA94" s="18"/>
      <c r="AB94" s="18"/>
      <c r="AC94" s="18"/>
      <c r="AD94" s="18"/>
      <c r="AE94" s="7" t="n">
        <f aca="false">SUMPRODUCT((F94:AA94 - $F$2:$AA$2) * ((F94:AA94 - $F$2:$AA$2) &gt; 0))</f>
        <v>0</v>
      </c>
      <c r="AF94" s="7"/>
      <c r="AG94" s="7"/>
      <c r="AH94" s="7"/>
      <c r="AI94" s="20"/>
      <c r="AJ94" s="8" t="s">
        <v>115</v>
      </c>
      <c r="AK94" s="21" t="str">
        <f aca="false">IFERROR(ADDRESS(MATCH(AJ94, $A$5:$A$180, 0) + 4, COLUMN(A90)), "Not Found")</f>
        <v>$A$94</v>
      </c>
    </row>
    <row r="95" customFormat="false" ht="17.35" hidden="false" customHeight="false" outlineLevel="0" collapsed="false">
      <c r="A95" s="8" t="s">
        <v>116</v>
      </c>
      <c r="B95" s="16" t="b">
        <f aca="false">AND(D95=TRUE(),E95=TRUE())</f>
        <v>0</v>
      </c>
      <c r="C95" s="17" t="s">
        <v>230</v>
      </c>
      <c r="D95" s="16" t="b">
        <f aca="false">AND(INDEX(C:C, MATCH("Regicide", AJ:AJ, 0)) = "Y",INDEX(C:C, MATCH("Waterfall Quest", AJ:AJ, 0)) = "Y")</f>
        <v>0</v>
      </c>
      <c r="E95" s="16" t="b">
        <f aca="false">SUMPRODUCT((F95:AD95 &lt;&gt; "") * (F95:AD95 &lt;= F$2:AD$2)) = 0</f>
        <v>1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9"/>
      <c r="X95" s="18"/>
      <c r="Y95" s="18"/>
      <c r="Z95" s="18"/>
      <c r="AA95" s="18"/>
      <c r="AB95" s="18"/>
      <c r="AC95" s="18"/>
      <c r="AD95" s="18"/>
      <c r="AE95" s="7" t="n">
        <f aca="false">SUMPRODUCT((F95:AA95 - $F$2:$AA$2) * ((F95:AA95 - $F$2:$AA$2) &gt; 0))</f>
        <v>0</v>
      </c>
      <c r="AF95" s="7"/>
      <c r="AG95" s="7"/>
      <c r="AH95" s="7"/>
      <c r="AI95" s="20"/>
      <c r="AJ95" s="8" t="s">
        <v>116</v>
      </c>
      <c r="AK95" s="21" t="str">
        <f aca="false">IFERROR(ADDRESS(MATCH(AJ95, $A$5:$A$180, 0) + 4, COLUMN(A91)), "Not Found")</f>
        <v>$A$95</v>
      </c>
    </row>
    <row r="96" customFormat="false" ht="17.35" hidden="false" customHeight="false" outlineLevel="0" collapsed="false">
      <c r="A96" s="8" t="s">
        <v>117</v>
      </c>
      <c r="B96" s="16" t="b">
        <f aca="false">AND(D96=TRUE(),E96=TRUE())</f>
        <v>0</v>
      </c>
      <c r="C96" s="17" t="s">
        <v>230</v>
      </c>
      <c r="D96" s="16" t="b">
        <f aca="false">AND(INDEX(C:C, MATCH("Throne of Miscellania", AJ:AJ, 0)) = "Y")</f>
        <v>0</v>
      </c>
      <c r="E96" s="16" t="b">
        <f aca="false">SUMPRODUCT((F96:AD96 &lt;&gt; "") * (F96:AD96 &lt;= F$2:AD$2)) = 2</f>
        <v>1</v>
      </c>
      <c r="F96" s="18" t="n">
        <v>40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9"/>
      <c r="X96" s="18" t="n">
        <v>40</v>
      </c>
      <c r="Y96" s="18"/>
      <c r="Z96" s="18"/>
      <c r="AA96" s="18"/>
      <c r="AB96" s="18"/>
      <c r="AC96" s="18"/>
      <c r="AD96" s="18"/>
      <c r="AE96" s="7" t="n">
        <f aca="false">SUMPRODUCT((F96:AA96 - $F$2:$AA$2) * ((F96:AA96 - $F$2:$AA$2) &gt; 0))</f>
        <v>0</v>
      </c>
      <c r="AF96" s="7"/>
      <c r="AG96" s="7"/>
      <c r="AH96" s="7"/>
      <c r="AI96" s="20"/>
      <c r="AJ96" s="8" t="s">
        <v>117</v>
      </c>
      <c r="AK96" s="21" t="str">
        <f aca="false">IFERROR(ADDRESS(MATCH(AJ96, $A$5:$A$180, 0) + 4, COLUMN(A92)), "Not Found")</f>
        <v>$A$96</v>
      </c>
    </row>
    <row r="97" customFormat="false" ht="17.35" hidden="false" customHeight="false" outlineLevel="0" collapsed="false">
      <c r="A97" s="8" t="s">
        <v>118</v>
      </c>
      <c r="B97" s="16" t="b">
        <f aca="false">AND(D97=TRUE(),E97=TRUE())</f>
        <v>1</v>
      </c>
      <c r="C97" s="17" t="s">
        <v>229</v>
      </c>
      <c r="D97" s="16" t="b">
        <f aca="false">AND(INDEX(C:C, MATCH("Zogre Flesh Eaters", AJ:AJ, 0)) = "Y")</f>
        <v>1</v>
      </c>
      <c r="E97" s="16" t="b">
        <f aca="false">SUMPRODUCT((F97:AD97 &lt;&gt; "") * (F97:AD97 &lt;= F$2:AD$2)) = 5</f>
        <v>1</v>
      </c>
      <c r="F97" s="18"/>
      <c r="G97" s="18"/>
      <c r="H97" s="18"/>
      <c r="I97" s="18"/>
      <c r="J97" s="18" t="n">
        <v>42</v>
      </c>
      <c r="K97" s="18"/>
      <c r="L97" s="18" t="n">
        <v>40</v>
      </c>
      <c r="M97" s="18"/>
      <c r="N97" s="18" t="n">
        <v>50</v>
      </c>
      <c r="O97" s="18"/>
      <c r="P97" s="18"/>
      <c r="Q97" s="18"/>
      <c r="R97" s="18"/>
      <c r="S97" s="18"/>
      <c r="T97" s="18" t="n">
        <v>47</v>
      </c>
      <c r="U97" s="18"/>
      <c r="V97" s="18"/>
      <c r="W97" s="19"/>
      <c r="X97" s="18" t="n">
        <v>42</v>
      </c>
      <c r="Y97" s="18"/>
      <c r="Z97" s="18"/>
      <c r="AA97" s="18"/>
      <c r="AB97" s="18"/>
      <c r="AC97" s="18"/>
      <c r="AD97" s="18"/>
      <c r="AE97" s="7" t="n">
        <f aca="false">SUMPRODUCT((F97:AA97 - $F$2:$AA$2) * ((F97:AA97 - $F$2:$AA$2) &gt; 0))</f>
        <v>0</v>
      </c>
      <c r="AF97" s="7"/>
      <c r="AG97" s="7"/>
      <c r="AH97" s="7"/>
      <c r="AI97" s="20"/>
      <c r="AJ97" s="8" t="s">
        <v>118</v>
      </c>
      <c r="AK97" s="21" t="str">
        <f aca="false">IFERROR(ADDRESS(MATCH(AJ97, $A$5:$A$180, 0) + 4, COLUMN(A93)), "Not Found")</f>
        <v>$A$97</v>
      </c>
    </row>
    <row r="98" customFormat="false" ht="17.35" hidden="false" customHeight="false" outlineLevel="0" collapsed="false">
      <c r="A98" s="8" t="s">
        <v>119</v>
      </c>
      <c r="B98" s="16" t="b">
        <f aca="false">AND(D98=TRUE(),E98=TRUE())</f>
        <v>1</v>
      </c>
      <c r="C98" s="17" t="s">
        <v>229</v>
      </c>
      <c r="D98" s="16" t="b">
        <f aca="false">TRUE()</f>
        <v>1</v>
      </c>
      <c r="E98" s="16" t="b">
        <f aca="false">SUMPRODUCT((F98:AD98 &lt;&gt; "") * (F98:AD98 &lt;= F$2:AD$2)) = 0</f>
        <v>1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9"/>
      <c r="X98" s="18"/>
      <c r="Y98" s="18"/>
      <c r="Z98" s="18"/>
      <c r="AA98" s="18"/>
      <c r="AB98" s="18"/>
      <c r="AC98" s="18"/>
      <c r="AD98" s="18"/>
      <c r="AE98" s="7" t="n">
        <f aca="false">SUMPRODUCT((F98:AA98 - $F$2:$AA$2) * ((F98:AA98 - $F$2:$AA$2) &gt; 0))</f>
        <v>0</v>
      </c>
      <c r="AF98" s="7"/>
      <c r="AG98" s="7"/>
      <c r="AH98" s="7"/>
      <c r="AI98" s="20"/>
      <c r="AJ98" s="8" t="s">
        <v>119</v>
      </c>
      <c r="AK98" s="21" t="str">
        <f aca="false">IFERROR(ADDRESS(MATCH(AJ98, $A$5:$A$180, 0) + 4, COLUMN(A94)), "Not Found")</f>
        <v>$A$98</v>
      </c>
    </row>
    <row r="99" customFormat="false" ht="17.35" hidden="false" customHeight="false" outlineLevel="0" collapsed="false">
      <c r="A99" s="8" t="s">
        <v>120</v>
      </c>
      <c r="B99" s="16" t="b">
        <f aca="false">AND(D99=TRUE(),E99=TRUE())</f>
        <v>1</v>
      </c>
      <c r="C99" s="23" t="s">
        <v>229</v>
      </c>
      <c r="D99" s="16" t="b">
        <f aca="false">TRUE()</f>
        <v>1</v>
      </c>
      <c r="E99" s="16" t="b">
        <f aca="false">SUMPRODUCT((F99:AD99 &lt;&gt; "") * (F99:AD99 &lt;= F$2:AD$2)) = 1</f>
        <v>1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 t="n">
        <v>31</v>
      </c>
      <c r="U99" s="18"/>
      <c r="V99" s="18"/>
      <c r="W99" s="19"/>
      <c r="X99" s="18"/>
      <c r="Y99" s="18"/>
      <c r="Z99" s="18"/>
      <c r="AA99" s="18"/>
      <c r="AB99" s="18"/>
      <c r="AC99" s="18"/>
      <c r="AD99" s="18"/>
      <c r="AE99" s="7" t="n">
        <f aca="false">SUMPRODUCT((F99:AA99 - $F$2:$AA$2) * ((F99:AA99 - $F$2:$AA$2) &gt; 0))</f>
        <v>0</v>
      </c>
      <c r="AF99" s="7"/>
      <c r="AG99" s="7"/>
      <c r="AH99" s="7"/>
      <c r="AI99" s="20"/>
      <c r="AJ99" s="8" t="s">
        <v>120</v>
      </c>
      <c r="AK99" s="21" t="str">
        <f aca="false">IFERROR(ADDRESS(MATCH(AJ99, $A$5:$A$180, 0) + 4, COLUMN(A95)), "Not Found")</f>
        <v>$A$99</v>
      </c>
    </row>
    <row r="100" customFormat="false" ht="17.35" hidden="false" customHeight="false" outlineLevel="0" collapsed="false">
      <c r="A100" s="8" t="s">
        <v>121</v>
      </c>
      <c r="B100" s="16" t="b">
        <f aca="false">AND(D100=TRUE(),E100=TRUE())</f>
        <v>1</v>
      </c>
      <c r="C100" s="23" t="s">
        <v>229</v>
      </c>
      <c r="D100" s="16" t="b">
        <f aca="false">TRUE()</f>
        <v>1</v>
      </c>
      <c r="E100" s="16" t="b">
        <f aca="false">SUMPRODUCT((F100:AD100 &lt;&gt; "") * (F100:AD100 &lt;= F$2:AD$2)) = 1</f>
        <v>1</v>
      </c>
      <c r="F100" s="18"/>
      <c r="G100" s="18"/>
      <c r="H100" s="18"/>
      <c r="I100" s="18"/>
      <c r="J100" s="18"/>
      <c r="K100" s="18"/>
      <c r="L100" s="18"/>
      <c r="M100" s="18" t="n">
        <v>30</v>
      </c>
      <c r="N100" s="18"/>
      <c r="O100" s="18"/>
      <c r="P100" s="18"/>
      <c r="Q100" s="18"/>
      <c r="R100" s="18"/>
      <c r="S100" s="18"/>
      <c r="T100" s="18"/>
      <c r="U100" s="18"/>
      <c r="V100" s="18"/>
      <c r="W100" s="19"/>
      <c r="X100" s="18"/>
      <c r="Y100" s="18"/>
      <c r="Z100" s="18"/>
      <c r="AA100" s="18"/>
      <c r="AB100" s="18"/>
      <c r="AC100" s="18"/>
      <c r="AD100" s="18"/>
      <c r="AE100" s="7" t="n">
        <f aca="false">SUMPRODUCT((F100:AA100 - $F$2:$AA$2) * ((F100:AA100 - $F$2:$AA$2) &gt; 0))</f>
        <v>0</v>
      </c>
      <c r="AF100" s="7"/>
      <c r="AG100" s="7"/>
      <c r="AH100" s="7"/>
      <c r="AI100" s="20"/>
      <c r="AJ100" s="8" t="s">
        <v>121</v>
      </c>
      <c r="AK100" s="21" t="str">
        <f aca="false">IFERROR(ADDRESS(MATCH(AJ100, $A$5:$A$180, 0) + 4, COLUMN(A96)), "Not Found")</f>
        <v>$A$100</v>
      </c>
    </row>
    <row r="101" customFormat="false" ht="17.35" hidden="false" customHeight="false" outlineLevel="0" collapsed="false">
      <c r="A101" s="8" t="s">
        <v>122</v>
      </c>
      <c r="B101" s="16" t="b">
        <f aca="false">AND(D101=TRUE(),E101=TRUE())</f>
        <v>1</v>
      </c>
      <c r="C101" s="23" t="s">
        <v>229</v>
      </c>
      <c r="D101" s="16" t="b">
        <f aca="false">TRUE()</f>
        <v>1</v>
      </c>
      <c r="E101" s="16" t="b">
        <f aca="false">SUMPRODUCT((F101:AD101 &lt;&gt; "") * (F101:AD101 &lt;= F$2:AD$2)) = 1</f>
        <v>1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 t="n">
        <v>15</v>
      </c>
      <c r="Q101" s="18"/>
      <c r="R101" s="18"/>
      <c r="S101" s="18"/>
      <c r="T101" s="18"/>
      <c r="U101" s="18"/>
      <c r="V101" s="18"/>
      <c r="W101" s="19"/>
      <c r="X101" s="18"/>
      <c r="Y101" s="18"/>
      <c r="Z101" s="18"/>
      <c r="AA101" s="18"/>
      <c r="AB101" s="18"/>
      <c r="AC101" s="18"/>
      <c r="AD101" s="18"/>
      <c r="AE101" s="7" t="n">
        <f aca="false">SUMPRODUCT((F101:AA101 - $F$2:$AA$2) * ((F101:AA101 - $F$2:$AA$2) &gt; 0))</f>
        <v>0</v>
      </c>
      <c r="AF101" s="7"/>
      <c r="AG101" s="7"/>
      <c r="AH101" s="7"/>
      <c r="AI101" s="20"/>
      <c r="AJ101" s="8" t="s">
        <v>122</v>
      </c>
      <c r="AK101" s="21" t="str">
        <f aca="false">IFERROR(ADDRESS(MATCH(AJ101, $A$5:$A$180, 0) + 4, COLUMN(A97)), "Not Found")</f>
        <v>$A$101</v>
      </c>
    </row>
    <row r="102" customFormat="false" ht="17.35" hidden="false" customHeight="false" outlineLevel="0" collapsed="false">
      <c r="A102" s="8" t="s">
        <v>123</v>
      </c>
      <c r="B102" s="16" t="b">
        <f aca="false">AND(D102=TRUE(),E102=TRUE())</f>
        <v>0</v>
      </c>
      <c r="C102" s="17" t="s">
        <v>230</v>
      </c>
      <c r="D102" s="16" t="b">
        <f aca="false">AND(INDEX(C:C, MATCH("Golem, The", AJ:AJ, 0)) = "Y",INDEX(C:C, MATCH("Demon Slayer", AJ:AJ, 0)) = "Y")</f>
        <v>0</v>
      </c>
      <c r="E102" s="16" t="b">
        <f aca="false">SUMPRODUCT((F102:AD102 &lt;&gt; "") * (F102:AD102 &lt;= F$2:AD$2)) = 0</f>
        <v>1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9"/>
      <c r="X102" s="18"/>
      <c r="Y102" s="18"/>
      <c r="Z102" s="18"/>
      <c r="AA102" s="18"/>
      <c r="AB102" s="18"/>
      <c r="AC102" s="18"/>
      <c r="AD102" s="18"/>
      <c r="AE102" s="7" t="n">
        <f aca="false">SUMPRODUCT((F102:AA102 - $F$2:$AA$2) * ((F102:AA102 - $F$2:$AA$2) &gt; 0))</f>
        <v>0</v>
      </c>
      <c r="AF102" s="7"/>
      <c r="AG102" s="7"/>
      <c r="AH102" s="7"/>
      <c r="AI102" s="20"/>
      <c r="AJ102" s="8" t="s">
        <v>123</v>
      </c>
      <c r="AK102" s="21" t="str">
        <f aca="false">IFERROR(ADDRESS(MATCH(AJ102, $A$5:$A$180, 0) + 4, COLUMN(A98)), "Not Found")</f>
        <v>$A$102</v>
      </c>
    </row>
    <row r="103" customFormat="false" ht="17.35" hidden="false" customHeight="false" outlineLevel="0" collapsed="false">
      <c r="A103" s="8" t="s">
        <v>124</v>
      </c>
      <c r="B103" s="16" t="b">
        <f aca="false">AND(D103=TRUE(),E103=TRUE())</f>
        <v>1</v>
      </c>
      <c r="C103" s="23" t="s">
        <v>229</v>
      </c>
      <c r="D103" s="16" t="b">
        <f aca="false">TRUE()</f>
        <v>1</v>
      </c>
      <c r="E103" s="16" t="b">
        <f aca="false">SUMPRODUCT((F103:AD103 &lt;&gt; "") * (F103:AD103 &lt;= F$2:AD$2)) = 2</f>
        <v>1</v>
      </c>
      <c r="F103" s="18"/>
      <c r="G103" s="18"/>
      <c r="H103" s="18"/>
      <c r="I103" s="18"/>
      <c r="J103" s="18" t="n">
        <v>20</v>
      </c>
      <c r="K103" s="18"/>
      <c r="L103" s="18"/>
      <c r="M103" s="18" t="n">
        <v>5</v>
      </c>
      <c r="N103" s="18"/>
      <c r="O103" s="18"/>
      <c r="P103" s="18"/>
      <c r="Q103" s="18"/>
      <c r="R103" s="18"/>
      <c r="S103" s="18"/>
      <c r="T103" s="18"/>
      <c r="U103" s="18"/>
      <c r="V103" s="18"/>
      <c r="W103" s="19"/>
      <c r="X103" s="18"/>
      <c r="Y103" s="18"/>
      <c r="Z103" s="18"/>
      <c r="AA103" s="18"/>
      <c r="AB103" s="18"/>
      <c r="AC103" s="18"/>
      <c r="AD103" s="18"/>
      <c r="AE103" s="7" t="n">
        <f aca="false">SUMPRODUCT((F103:AA103 - $F$2:$AA$2) * ((F103:AA103 - $F$2:$AA$2) &gt; 0))</f>
        <v>0</v>
      </c>
      <c r="AF103" s="7"/>
      <c r="AG103" s="7"/>
      <c r="AH103" s="7"/>
      <c r="AI103" s="20"/>
      <c r="AJ103" s="8" t="s">
        <v>124</v>
      </c>
      <c r="AK103" s="21" t="str">
        <f aca="false">IFERROR(ADDRESS(MATCH(AJ103, $A$5:$A$180, 0) + 4, COLUMN(A99)), "Not Found")</f>
        <v>$A$103</v>
      </c>
    </row>
    <row r="104" customFormat="false" ht="17.35" hidden="false" customHeight="false" outlineLevel="0" collapsed="false">
      <c r="A104" s="8" t="s">
        <v>125</v>
      </c>
      <c r="B104" s="16" t="b">
        <f aca="false">AND(D104=TRUE(),E104=TRUE())</f>
        <v>1</v>
      </c>
      <c r="C104" s="17" t="s">
        <v>229</v>
      </c>
      <c r="D104" s="16" t="b">
        <f aca="false">TRUE()</f>
        <v>1</v>
      </c>
      <c r="E104" s="16" t="b">
        <f aca="false">SUMPRODUCT((F104:AD104 &lt;&gt; "") * (F104:AD104 &lt;= F$2:AD$2)) = 0</f>
        <v>1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9"/>
      <c r="X104" s="18"/>
      <c r="Y104" s="18"/>
      <c r="Z104" s="18"/>
      <c r="AA104" s="18"/>
      <c r="AB104" s="18"/>
      <c r="AC104" s="18"/>
      <c r="AD104" s="18"/>
      <c r="AE104" s="7" t="n">
        <f aca="false">SUMPRODUCT((F104:AA104 - $F$2:$AA$2) * ((F104:AA104 - $F$2:$AA$2) &gt; 0))</f>
        <v>0</v>
      </c>
      <c r="AF104" s="7"/>
      <c r="AG104" s="7"/>
      <c r="AH104" s="7"/>
      <c r="AI104" s="20"/>
      <c r="AJ104" s="8" t="s">
        <v>125</v>
      </c>
      <c r="AK104" s="21" t="str">
        <f aca="false">IFERROR(ADDRESS(MATCH(AJ104, $A$5:$A$180, 0) + 4, COLUMN(A100)), "Not Found")</f>
        <v>$A$104</v>
      </c>
    </row>
    <row r="105" customFormat="false" ht="17.35" hidden="false" customHeight="false" outlineLevel="0" collapsed="false">
      <c r="A105" s="8" t="s">
        <v>126</v>
      </c>
      <c r="B105" s="16" t="b">
        <f aca="false">AND(D105=TRUE(),E105=TRUE())</f>
        <v>1</v>
      </c>
      <c r="C105" s="17" t="s">
        <v>229</v>
      </c>
      <c r="D105" s="16" t="b">
        <f aca="false">TRUE()</f>
        <v>1</v>
      </c>
      <c r="E105" s="16" t="b">
        <f aca="false">SUMPRODUCT((F105:AD105 &lt;&gt; "") * (F105:AD105 &lt;= F$2:AD$2)) = 0</f>
        <v>1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9"/>
      <c r="X105" s="18"/>
      <c r="Y105" s="18"/>
      <c r="Z105" s="18"/>
      <c r="AA105" s="18"/>
      <c r="AB105" s="18"/>
      <c r="AC105" s="18"/>
      <c r="AD105" s="18"/>
      <c r="AE105" s="7" t="n">
        <f aca="false">SUMPRODUCT((F105:AA105 - $F$2:$AA$2) * ((F105:AA105 - $F$2:$AA$2) &gt; 0))</f>
        <v>0</v>
      </c>
      <c r="AF105" s="7"/>
      <c r="AG105" s="7"/>
      <c r="AH105" s="7"/>
      <c r="AI105" s="20"/>
      <c r="AJ105" s="8" t="s">
        <v>126</v>
      </c>
      <c r="AK105" s="21" t="str">
        <f aca="false">IFERROR(ADDRESS(MATCH(AJ105, $A$5:$A$180, 0) + 4, COLUMN(A101)), "Not Found")</f>
        <v>$A$105</v>
      </c>
    </row>
    <row r="106" customFormat="false" ht="17.35" hidden="false" customHeight="false" outlineLevel="0" collapsed="false">
      <c r="A106" s="8" t="s">
        <v>127</v>
      </c>
      <c r="B106" s="16" t="b">
        <f aca="false">AND(D106=TRUE(),E106=TRUE())</f>
        <v>1</v>
      </c>
      <c r="C106" s="17" t="s">
        <v>229</v>
      </c>
      <c r="D106" s="16" t="b">
        <f aca="false">AND(INDEX(C:C, MATCH("Jungle Potion", AJ:AJ, 0)) = "Y")</f>
        <v>1</v>
      </c>
      <c r="E106" s="16" t="b">
        <f aca="false">SUMPRODUCT((F106:AD106 &lt;&gt; "") * (F106:AD106 &lt;= F$2:AD$2)) = 3</f>
        <v>1</v>
      </c>
      <c r="F106" s="18" t="n">
        <v>32</v>
      </c>
      <c r="G106" s="18"/>
      <c r="H106" s="18"/>
      <c r="I106" s="18"/>
      <c r="J106" s="18" t="n">
        <v>20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9"/>
      <c r="X106" s="18"/>
      <c r="Y106" s="18" t="n">
        <v>4</v>
      </c>
      <c r="Z106" s="18"/>
      <c r="AA106" s="18"/>
      <c r="AB106" s="18"/>
      <c r="AC106" s="18"/>
      <c r="AD106" s="18"/>
      <c r="AE106" s="7" t="n">
        <f aca="false">SUMPRODUCT((F106:AA106 - $F$2:$AA$2) * ((F106:AA106 - $F$2:$AA$2) &gt; 0))</f>
        <v>0</v>
      </c>
      <c r="AF106" s="7"/>
      <c r="AG106" s="7"/>
      <c r="AH106" s="7"/>
      <c r="AI106" s="20"/>
      <c r="AJ106" s="8" t="s">
        <v>127</v>
      </c>
      <c r="AK106" s="21" t="str">
        <f aca="false">IFERROR(ADDRESS(MATCH(AJ106, $A$5:$A$180, 0) + 4, COLUMN(A102)), "Not Found")</f>
        <v>$A$106</v>
      </c>
    </row>
    <row r="107" customFormat="false" ht="17.4" hidden="false" customHeight="false" outlineLevel="0" collapsed="false">
      <c r="A107" s="9" t="s">
        <v>244</v>
      </c>
      <c r="B107" s="16" t="b">
        <f aca="false">AND(D107=TRUE(),E107=TRUE())</f>
        <v>0</v>
      </c>
      <c r="C107" s="17" t="s">
        <v>230</v>
      </c>
      <c r="D107" s="16" t="b">
        <f aca="false">AND(INDEX(C:C, MATCH("Wanted!", AJ:AJ, 0)) = "Y",INDEX(C:C, MATCH("Sea Slug", AJ:AJ, 0)) = "Y")</f>
        <v>0</v>
      </c>
      <c r="E107" s="16" t="b">
        <f aca="false">SUMPRODUCT((F107:AD107 &lt;&gt; "") * (F107:AD107 &lt;= F$2:AD$2)) = 4</f>
        <v>0</v>
      </c>
      <c r="F107" s="18"/>
      <c r="G107" s="18"/>
      <c r="H107" s="18"/>
      <c r="I107" s="18"/>
      <c r="J107" s="18" t="n">
        <v>30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 t="n">
        <v>30</v>
      </c>
      <c r="W107" s="19"/>
      <c r="X107" s="18" t="n">
        <v>30</v>
      </c>
      <c r="Y107" s="18"/>
      <c r="Z107" s="18"/>
      <c r="AA107" s="18" t="n">
        <v>30</v>
      </c>
      <c r="AB107" s="18"/>
      <c r="AC107" s="18"/>
      <c r="AD107" s="18"/>
      <c r="AE107" s="7" t="n">
        <f aca="false">SUMPRODUCT((F107:AA107 - $F$2:$AA$2) * ((F107:AA107 - $F$2:$AA$2) &gt; 0))</f>
        <v>7</v>
      </c>
      <c r="AF107" s="7"/>
      <c r="AG107" s="7"/>
      <c r="AH107" s="7"/>
      <c r="AI107" s="20"/>
      <c r="AJ107" s="9" t="s">
        <v>244</v>
      </c>
      <c r="AK107" s="21" t="str">
        <f aca="false">IFERROR(ADDRESS(MATCH(AJ107, $A$5:$A$180, 0) + 4, COLUMN(A103)), "Not Found")</f>
        <v>$A$107</v>
      </c>
    </row>
    <row r="108" customFormat="false" ht="17.4" hidden="false" customHeight="false" outlineLevel="0" collapsed="false">
      <c r="A108" s="9" t="s">
        <v>245</v>
      </c>
      <c r="B108" s="16" t="b">
        <f aca="false">AND(D108=TRUE(),E108=TRUE())</f>
        <v>1</v>
      </c>
      <c r="C108" s="17" t="s">
        <v>230</v>
      </c>
      <c r="D108" s="16" t="b">
        <f aca="false">TRUE()</f>
        <v>1</v>
      </c>
      <c r="E108" s="16" t="b">
        <f aca="false">SUMPRODUCT((F108:AD108 &lt;&gt; "") * (F108:AD108 &lt;= F$2:AD$2)) = 0</f>
        <v>1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9"/>
      <c r="X108" s="18"/>
      <c r="Y108" s="18"/>
      <c r="Z108" s="18"/>
      <c r="AA108" s="18"/>
      <c r="AB108" s="18"/>
      <c r="AC108" s="18"/>
      <c r="AD108" s="18"/>
      <c r="AE108" s="7" t="n">
        <f aca="false">SUMPRODUCT((F108:AA108 - $F$2:$AA$2) * ((F108:AA108 - $F$2:$AA$2) &gt; 0))</f>
        <v>0</v>
      </c>
      <c r="AF108" s="7"/>
      <c r="AG108" s="7"/>
      <c r="AH108" s="7"/>
      <c r="AI108" s="20"/>
      <c r="AJ108" s="9" t="s">
        <v>245</v>
      </c>
      <c r="AK108" s="21" t="str">
        <f aca="false">IFERROR(ADDRESS(MATCH(AJ108, $A$5:$A$180, 0) + 4, COLUMN(A104)), "Not Found")</f>
        <v>$A$108</v>
      </c>
    </row>
    <row r="109" customFormat="false" ht="17.35" hidden="false" customHeight="false" outlineLevel="0" collapsed="false">
      <c r="A109" s="8" t="s">
        <v>130</v>
      </c>
      <c r="B109" s="16" t="b">
        <f aca="false">AND(D109=TRUE(),E109=TRUE())</f>
        <v>1</v>
      </c>
      <c r="C109" s="23" t="s">
        <v>229</v>
      </c>
      <c r="D109" s="16" t="b">
        <f aca="false">TRUE()</f>
        <v>1</v>
      </c>
      <c r="E109" s="16" t="n">
        <f aca="false">SUMPRODUCT((F109:AD109 &lt;&gt; "") * (F109:AD109 &lt;= F$2:AD$2)) = 4</f>
        <v>1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 t="n">
        <v>33</v>
      </c>
      <c r="S109" s="18" t="n">
        <v>37</v>
      </c>
      <c r="T109" s="18"/>
      <c r="U109" s="18" t="n">
        <v>37</v>
      </c>
      <c r="V109" s="18"/>
      <c r="W109" s="19"/>
      <c r="X109" s="18"/>
      <c r="Y109" s="18"/>
      <c r="Z109" s="18"/>
      <c r="AA109" s="18" t="n">
        <v>37</v>
      </c>
      <c r="AB109" s="18"/>
      <c r="AC109" s="18"/>
      <c r="AD109" s="18"/>
      <c r="AE109" s="7" t="n">
        <f aca="false">SUMPRODUCT((F109:AA109 - $F$2:$AA$2) * ((F109:AA109 - $F$2:$AA$2) &gt; 0))</f>
        <v>0</v>
      </c>
      <c r="AF109" s="7"/>
      <c r="AG109" s="7"/>
      <c r="AH109" s="7"/>
      <c r="AI109" s="20"/>
      <c r="AJ109" s="8" t="s">
        <v>130</v>
      </c>
      <c r="AK109" s="21" t="str">
        <f aca="false">IFERROR(ADDRESS(MATCH(AJ109, $A$5:$A$180, 0) + 4, COLUMN(A105)), "Not Found")</f>
        <v>$A$109</v>
      </c>
    </row>
    <row r="110" customFormat="false" ht="17.35" hidden="false" customHeight="false" outlineLevel="0" collapsed="false">
      <c r="A110" s="8" t="s">
        <v>131</v>
      </c>
      <c r="B110" s="16" t="b">
        <f aca="false">AND(D110=TRUE(),E110=TRUE())</f>
        <v>0</v>
      </c>
      <c r="C110" s="17" t="s">
        <v>230</v>
      </c>
      <c r="D110" s="16" t="b">
        <f aca="false">AND(INDEX(C:C, MATCH("One Small Favour", AJ:AJ, 0)) = "Y",INDEX(C:C, MATCH("Garden of Tranquillity", AJ:AJ, 0)) = "Y")</f>
        <v>0</v>
      </c>
      <c r="E110" s="16" t="b">
        <f aca="false">SUMPRODUCT((F110:AD110 &lt;&gt; "") * (F110:AD110 &lt;= F$2:AD$2)) = 6</f>
        <v>1</v>
      </c>
      <c r="F110" s="18"/>
      <c r="G110" s="18"/>
      <c r="H110" s="18"/>
      <c r="I110" s="18" t="n">
        <v>62</v>
      </c>
      <c r="J110" s="18" t="n">
        <v>40</v>
      </c>
      <c r="K110" s="18"/>
      <c r="L110" s="18"/>
      <c r="M110" s="18" t="n">
        <v>42</v>
      </c>
      <c r="N110" s="18" t="n">
        <v>62</v>
      </c>
      <c r="O110" s="18"/>
      <c r="P110" s="18"/>
      <c r="Q110" s="18"/>
      <c r="R110" s="18" t="n">
        <v>66</v>
      </c>
      <c r="S110" s="18"/>
      <c r="T110" s="18"/>
      <c r="U110" s="18"/>
      <c r="V110" s="18"/>
      <c r="W110" s="19"/>
      <c r="X110" s="18"/>
      <c r="Y110" s="18" t="n">
        <v>45</v>
      </c>
      <c r="Z110" s="18"/>
      <c r="AA110" s="18"/>
      <c r="AB110" s="18"/>
      <c r="AC110" s="18"/>
      <c r="AD110" s="18"/>
      <c r="AE110" s="7" t="n">
        <f aca="false">SUMPRODUCT((F110:AA110 - $F$2:$AA$2) * ((F110:AA110 - $F$2:$AA$2) &gt; 0))</f>
        <v>0</v>
      </c>
      <c r="AF110" s="7"/>
      <c r="AG110" s="7"/>
      <c r="AH110" s="7"/>
      <c r="AI110" s="20"/>
      <c r="AJ110" s="8" t="s">
        <v>131</v>
      </c>
      <c r="AK110" s="21" t="str">
        <f aca="false">IFERROR(ADDRESS(MATCH(AJ110, $A$5:$A$180, 0) + 4, COLUMN(A106)), "Not Found")</f>
        <v>$A$110</v>
      </c>
    </row>
    <row r="111" customFormat="false" ht="17.35" hidden="false" customHeight="false" outlineLevel="0" collapsed="false">
      <c r="A111" s="8" t="s">
        <v>132</v>
      </c>
      <c r="B111" s="16" t="b">
        <f aca="false">AND(D111=TRUE(),E111=TRUE())</f>
        <v>1</v>
      </c>
      <c r="C111" s="17" t="s">
        <v>230</v>
      </c>
      <c r="D111" s="16" t="b">
        <f aca="false">AND(INDEX(C:C, MATCH("Jungle Potion", AJ:AJ, 0)) = "Y")</f>
        <v>1</v>
      </c>
      <c r="E111" s="16" t="b">
        <f aca="false">SUMPRODUCT((F111:AD111 &lt;&gt; "") * (F111:AD111 &lt;= F$2:AD$2)) = 3</f>
        <v>1</v>
      </c>
      <c r="F111" s="18" t="n">
        <v>15</v>
      </c>
      <c r="G111" s="18"/>
      <c r="H111" s="18"/>
      <c r="I111" s="18" t="n">
        <v>30</v>
      </c>
      <c r="J111" s="18"/>
      <c r="K111" s="18"/>
      <c r="L111" s="18"/>
      <c r="M111" s="18"/>
      <c r="N111" s="18" t="n">
        <v>5</v>
      </c>
      <c r="O111" s="18"/>
      <c r="P111" s="18"/>
      <c r="Q111" s="18"/>
      <c r="R111" s="18"/>
      <c r="S111" s="18"/>
      <c r="T111" s="18"/>
      <c r="U111" s="18"/>
      <c r="V111" s="18"/>
      <c r="W111" s="19"/>
      <c r="X111" s="18"/>
      <c r="Y111" s="18"/>
      <c r="Z111" s="18"/>
      <c r="AA111" s="18"/>
      <c r="AB111" s="18"/>
      <c r="AC111" s="18"/>
      <c r="AD111" s="18"/>
      <c r="AE111" s="7" t="n">
        <f aca="false">SUMPRODUCT((F111:AA111 - $F$2:$AA$2) * ((F111:AA111 - $F$2:$AA$2) &gt; 0))</f>
        <v>0</v>
      </c>
      <c r="AF111" s="7"/>
      <c r="AG111" s="7"/>
      <c r="AH111" s="7"/>
      <c r="AI111" s="20"/>
      <c r="AJ111" s="8" t="s">
        <v>132</v>
      </c>
      <c r="AK111" s="21" t="str">
        <f aca="false">IFERROR(ADDRESS(MATCH(AJ111, $A$5:$A$180, 0) + 4, COLUMN(A107)), "Not Found")</f>
        <v>$A$111</v>
      </c>
    </row>
    <row r="112" customFormat="false" ht="17.4" hidden="false" customHeight="false" outlineLevel="0" collapsed="false">
      <c r="A112" s="9" t="s">
        <v>246</v>
      </c>
      <c r="B112" s="16" t="b">
        <f aca="false">AND(D112=TRUE(),E112=TRUE())</f>
        <v>1</v>
      </c>
      <c r="C112" s="17" t="s">
        <v>230</v>
      </c>
      <c r="D112" s="16" t="b">
        <f aca="false">AND(INDEX(C:C, MATCH("Icthlarin's Little Helper", AJ:AJ, 0)) = "Y",INDEX(C:C, MATCH("Gertrude's Cat", AJ:AJ, 0)) = "Y")</f>
        <v>1</v>
      </c>
      <c r="E112" s="16" t="b">
        <f aca="false">SUMPRODUCT((F112:AD112 &lt;&gt; "") * (F112:AD112 &lt;= F$2:AD$2)) = 0</f>
        <v>1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9"/>
      <c r="X112" s="18"/>
      <c r="Y112" s="18"/>
      <c r="Z112" s="18"/>
      <c r="AA112" s="18"/>
      <c r="AB112" s="18"/>
      <c r="AC112" s="18"/>
      <c r="AD112" s="18"/>
      <c r="AE112" s="7" t="n">
        <f aca="false">SUMPRODUCT((F112:AA112 - $F$2:$AA$2) * ((F112:AA112 - $F$2:$AA$2) &gt; 0))</f>
        <v>0</v>
      </c>
      <c r="AF112" s="7"/>
      <c r="AG112" s="7"/>
      <c r="AH112" s="7"/>
      <c r="AI112" s="20"/>
      <c r="AJ112" s="9" t="s">
        <v>246</v>
      </c>
      <c r="AK112" s="21" t="str">
        <f aca="false">IFERROR(ADDRESS(MATCH(AJ112, $A$5:$A$180, 0) + 4, COLUMN(A108)), "Not Found")</f>
        <v>$A$112</v>
      </c>
    </row>
    <row r="113" customFormat="false" ht="17.35" hidden="false" customHeight="false" outlineLevel="0" collapsed="false">
      <c r="A113" s="8" t="s">
        <v>134</v>
      </c>
      <c r="B113" s="16" t="b">
        <f aca="false">AND(D113=TRUE(),E113=TRUE())</f>
        <v>1</v>
      </c>
      <c r="C113" s="23" t="s">
        <v>229</v>
      </c>
      <c r="D113" s="16" t="b">
        <f aca="false">TRUE()</f>
        <v>1</v>
      </c>
      <c r="E113" s="16" t="n">
        <f aca="false">SUMPRODUCT((F113:AD113 &lt;&gt; "") * (F113:AD113 &lt;= F$2:AD$2)) = 4</f>
        <v>1</v>
      </c>
      <c r="F113" s="18"/>
      <c r="G113" s="18"/>
      <c r="H113" s="18"/>
      <c r="I113" s="18"/>
      <c r="J113" s="18" t="n">
        <v>20</v>
      </c>
      <c r="K113" s="18"/>
      <c r="L113" s="18"/>
      <c r="M113" s="18" t="n">
        <v>49</v>
      </c>
      <c r="N113" s="18"/>
      <c r="O113" s="18"/>
      <c r="P113" s="18"/>
      <c r="Q113" s="18"/>
      <c r="R113" s="18"/>
      <c r="S113" s="18" t="n">
        <v>20</v>
      </c>
      <c r="T113" s="18"/>
      <c r="U113" s="18"/>
      <c r="V113" s="18"/>
      <c r="W113" s="19"/>
      <c r="X113" s="18"/>
      <c r="Y113" s="18"/>
      <c r="Z113" s="18"/>
      <c r="AA113" s="18"/>
      <c r="AB113" s="18"/>
      <c r="AC113" s="18" t="n">
        <v>43</v>
      </c>
      <c r="AD113" s="18"/>
      <c r="AE113" s="7" t="n">
        <f aca="false">SUMPRODUCT((F113:AA113 - $F$2:$AA$2) * ((F113:AA113 - $F$2:$AA$2) &gt; 0))</f>
        <v>0</v>
      </c>
      <c r="AF113" s="7"/>
      <c r="AG113" s="7"/>
      <c r="AH113" s="7"/>
      <c r="AI113" s="20"/>
      <c r="AJ113" s="8" t="s">
        <v>134</v>
      </c>
      <c r="AK113" s="21" t="str">
        <f aca="false">IFERROR(ADDRESS(MATCH(AJ113, $A$5:$A$180, 0) + 4, COLUMN(A109)), "Not Found")</f>
        <v>$A$113</v>
      </c>
    </row>
    <row r="114" customFormat="false" ht="17.35" hidden="false" customHeight="false" outlineLevel="0" collapsed="false">
      <c r="A114" s="8" t="s">
        <v>135</v>
      </c>
      <c r="B114" s="16" t="b">
        <f aca="false">AND(D114=TRUE(),E114=TRUE())</f>
        <v>1</v>
      </c>
      <c r="C114" s="23" t="s">
        <v>229</v>
      </c>
      <c r="D114" s="16" t="b">
        <f aca="false">TRUE()</f>
        <v>1</v>
      </c>
      <c r="E114" s="16" t="b">
        <f aca="false">SUMPRODUCT((F114:AD114 &lt;&gt; "") * (F114:AD114 &lt;= F$2:AD$2)) = 2</f>
        <v>1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 t="n">
        <v>40</v>
      </c>
      <c r="V114" s="18"/>
      <c r="W114" s="19"/>
      <c r="X114" s="18"/>
      <c r="Y114" s="18"/>
      <c r="Z114" s="18"/>
      <c r="AA114" s="18" t="n">
        <v>42</v>
      </c>
      <c r="AB114" s="18"/>
      <c r="AC114" s="18"/>
      <c r="AD114" s="18"/>
      <c r="AE114" s="7" t="n">
        <f aca="false">SUMPRODUCT((F114:AA114 - $F$2:$AA$2) * ((F114:AA114 - $F$2:$AA$2) &gt; 0))</f>
        <v>0</v>
      </c>
      <c r="AF114" s="7"/>
      <c r="AG114" s="7"/>
      <c r="AH114" s="7"/>
      <c r="AI114" s="20"/>
      <c r="AJ114" s="8" t="s">
        <v>135</v>
      </c>
      <c r="AK114" s="21" t="str">
        <f aca="false">IFERROR(ADDRESS(MATCH(AJ114, $A$5:$A$180, 0) + 4, COLUMN(A110)), "Not Found")</f>
        <v>$A$114</v>
      </c>
    </row>
    <row r="115" customFormat="false" ht="17.35" hidden="false" customHeight="false" outlineLevel="0" collapsed="false">
      <c r="A115" s="8" t="s">
        <v>136</v>
      </c>
      <c r="B115" s="16" t="b">
        <f aca="false">AND(D115=TRUE(),E115=TRUE())</f>
        <v>0</v>
      </c>
      <c r="C115" s="17" t="s">
        <v>230</v>
      </c>
      <c r="D115" s="16" t="b">
        <f aca="false">AND(INDEX(C:C, MATCH("Fremennik Trials, The", AJ:AJ, 0)) = "Y",INDEX(C:C, MATCH("Heroes Quest", AJ:AJ, 0)) = "Y")</f>
        <v>1</v>
      </c>
      <c r="E115" s="16" t="n">
        <f aca="false">SUMPRODUCT((F115:AD115 &lt;&gt; "") * (F115:AD115 &lt;= F$2:AD$2)) = 4</f>
        <v>0</v>
      </c>
      <c r="F115" s="18"/>
      <c r="G115" s="18"/>
      <c r="H115" s="18"/>
      <c r="I115" s="18"/>
      <c r="J115" s="18"/>
      <c r="K115" s="18"/>
      <c r="L115" s="18"/>
      <c r="M115" s="18"/>
      <c r="N115" s="18" t="n">
        <v>35</v>
      </c>
      <c r="O115" s="18"/>
      <c r="P115" s="18"/>
      <c r="Q115" s="18"/>
      <c r="R115" s="18"/>
      <c r="S115" s="18" t="n">
        <v>30</v>
      </c>
      <c r="T115" s="18"/>
      <c r="U115" s="18"/>
      <c r="V115" s="18"/>
      <c r="W115" s="19"/>
      <c r="X115" s="18"/>
      <c r="Y115" s="18"/>
      <c r="Z115" s="18"/>
      <c r="AA115" s="18"/>
      <c r="AB115" s="18" t="n">
        <v>45</v>
      </c>
      <c r="AC115" s="18"/>
      <c r="AD115" s="18"/>
      <c r="AE115" s="7" t="n">
        <f aca="false">SUMPRODUCT((F115:AA115 - $F$2:$AA$2) * ((F115:AA115 - $F$2:$AA$2) &gt; 0))</f>
        <v>0</v>
      </c>
      <c r="AF115" s="7"/>
      <c r="AG115" s="7"/>
      <c r="AH115" s="7"/>
      <c r="AI115" s="20"/>
      <c r="AJ115" s="8" t="s">
        <v>136</v>
      </c>
      <c r="AK115" s="21" t="str">
        <f aca="false">IFERROR(ADDRESS(MATCH(AJ115, $A$5:$A$180, 0) + 4, COLUMN(A111)), "Not Found")</f>
        <v>$A$115</v>
      </c>
    </row>
    <row r="116" customFormat="false" ht="17.4" hidden="false" customHeight="false" outlineLevel="0" collapsed="false">
      <c r="A116" s="9" t="s">
        <v>247</v>
      </c>
      <c r="B116" s="16" t="b">
        <f aca="false">TRUE()</f>
        <v>1</v>
      </c>
      <c r="C116" s="17" t="s">
        <v>229</v>
      </c>
      <c r="D116" s="16" t="b">
        <f aca="false">TRUE()</f>
        <v>1</v>
      </c>
      <c r="E116" s="16" t="b">
        <f aca="false">SUMPRODUCT((F116:AD116 &lt;&gt; "") * (F116:AD116 &lt;= F$2:AD$2)) = 2</f>
        <v>1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 t="n">
        <v>10</v>
      </c>
      <c r="P116" s="18"/>
      <c r="Q116" s="18"/>
      <c r="R116" s="18"/>
      <c r="S116" s="18"/>
      <c r="T116" s="18"/>
      <c r="U116" s="18"/>
      <c r="V116" s="18"/>
      <c r="W116" s="19"/>
      <c r="X116" s="18"/>
      <c r="Y116" s="18" t="n">
        <v>20</v>
      </c>
      <c r="Z116" s="18"/>
      <c r="AA116" s="18"/>
      <c r="AB116" s="18"/>
      <c r="AC116" s="18"/>
      <c r="AD116" s="18"/>
      <c r="AE116" s="7" t="n">
        <f aca="false">SUMPRODUCT((F116:AA116 - $F$2:$AA$2) * ((F116:AA116 - $F$2:$AA$2) &gt; 0))</f>
        <v>0</v>
      </c>
      <c r="AF116" s="7"/>
      <c r="AG116" s="7"/>
      <c r="AH116" s="7"/>
      <c r="AI116" s="20"/>
      <c r="AJ116" s="9" t="s">
        <v>247</v>
      </c>
      <c r="AK116" s="21" t="str">
        <f aca="false">IFERROR(ADDRESS(MATCH(AJ116, $A$5:$A$180, 0) + 4, COLUMN(A112)), "Not Found")</f>
        <v>$A$116</v>
      </c>
    </row>
    <row r="117" customFormat="false" ht="17.35" hidden="false" customHeight="false" outlineLevel="0" collapsed="false">
      <c r="A117" s="8" t="s">
        <v>138</v>
      </c>
      <c r="B117" s="16" t="b">
        <f aca="false">AND(D117=TRUE(),E117=TRUE())</f>
        <v>1</v>
      </c>
      <c r="C117" s="17" t="s">
        <v>230</v>
      </c>
      <c r="D117" s="16" t="b">
        <f aca="false">TRUE()</f>
        <v>1</v>
      </c>
      <c r="E117" s="16" t="b">
        <f aca="false">SUMPRODUCT((F117:AD117 &lt;&gt; "") * (F117:AD117 &lt;= F$2:AD$2)) = 1</f>
        <v>1</v>
      </c>
      <c r="F117" s="18"/>
      <c r="G117" s="18"/>
      <c r="H117" s="18" t="n">
        <v>10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9"/>
      <c r="X117" s="18"/>
      <c r="Y117" s="18"/>
      <c r="Z117" s="18"/>
      <c r="AA117" s="18"/>
      <c r="AB117" s="18"/>
      <c r="AC117" s="18"/>
      <c r="AD117" s="18"/>
      <c r="AE117" s="7" t="n">
        <f aca="false">SUMPRODUCT((F117:AA117 - $F$2:$AA$2) * ((F117:AA117 - $F$2:$AA$2) &gt; 0))</f>
        <v>0</v>
      </c>
      <c r="AF117" s="7"/>
      <c r="AG117" s="7"/>
      <c r="AH117" s="7"/>
      <c r="AI117" s="20"/>
      <c r="AJ117" s="8" t="s">
        <v>138</v>
      </c>
      <c r="AK117" s="21" t="str">
        <f aca="false">IFERROR(ADDRESS(MATCH(AJ117, $A$5:$A$180, 0) + 4, COLUMN(A113)), "Not Found")</f>
        <v>$A$117</v>
      </c>
    </row>
    <row r="118" customFormat="false" ht="17.35" hidden="false" customHeight="false" outlineLevel="0" collapsed="false">
      <c r="A118" s="8" t="s">
        <v>139</v>
      </c>
      <c r="B118" s="16" t="b">
        <f aca="false">AND(D118=TRUE(),E118=TRUE())</f>
        <v>1</v>
      </c>
      <c r="C118" s="17" t="s">
        <v>229</v>
      </c>
      <c r="D118" s="16" t="b">
        <f aca="false">TRUE()</f>
        <v>1</v>
      </c>
      <c r="E118" s="16" t="b">
        <f aca="false">SUMPRODUCT((F118:AD118 &lt;&gt; "") * (F118:AD118 &lt;= F$2:AD$2)) = 0</f>
        <v>1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9"/>
      <c r="X118" s="18"/>
      <c r="Y118" s="18"/>
      <c r="Z118" s="18"/>
      <c r="AA118" s="18"/>
      <c r="AB118" s="18"/>
      <c r="AC118" s="18"/>
      <c r="AD118" s="18"/>
      <c r="AE118" s="7" t="n">
        <f aca="false">SUMPRODUCT((F118:AA118 - $F$2:$AA$2) * ((F118:AA118 - $F$2:$AA$2) &gt; 0))</f>
        <v>0</v>
      </c>
      <c r="AF118" s="7"/>
      <c r="AG118" s="7"/>
      <c r="AH118" s="7"/>
      <c r="AI118" s="20"/>
      <c r="AJ118" s="8" t="s">
        <v>139</v>
      </c>
      <c r="AK118" s="21" t="str">
        <f aca="false">IFERROR(ADDRESS(MATCH(AJ118, $A$5:$A$180, 0) + 4, COLUMN(A114)), "Not Found")</f>
        <v>$A$118</v>
      </c>
    </row>
    <row r="119" customFormat="false" ht="17.35" hidden="false" customHeight="false" outlineLevel="0" collapsed="false">
      <c r="A119" s="8" t="s">
        <v>140</v>
      </c>
      <c r="B119" s="16" t="b">
        <f aca="false">AND(D119=TRUE(),E119=TRUE())</f>
        <v>1</v>
      </c>
      <c r="C119" s="23" t="s">
        <v>229</v>
      </c>
      <c r="D119" s="16" t="b">
        <f aca="false">TRUE()</f>
        <v>1</v>
      </c>
      <c r="E119" s="16" t="b">
        <f aca="false">SUMPRODUCT((F119:AD119 &lt;&gt; "") * (F119:AD119 &lt;= F$2:AD$2)) = 1</f>
        <v>1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9"/>
      <c r="X119" s="18"/>
      <c r="Y119" s="18"/>
      <c r="Z119" s="18"/>
      <c r="AA119" s="18" t="n">
        <v>21</v>
      </c>
      <c r="AB119" s="18"/>
      <c r="AC119" s="18"/>
      <c r="AD119" s="18"/>
      <c r="AE119" s="7" t="n">
        <f aca="false">SUMPRODUCT((F119:AA119 - $F$2:$AA$2) * ((F119:AA119 - $F$2:$AA$2) &gt; 0))</f>
        <v>0</v>
      </c>
      <c r="AF119" s="7"/>
      <c r="AG119" s="7"/>
      <c r="AH119" s="7"/>
      <c r="AI119" s="20"/>
      <c r="AJ119" s="8" t="s">
        <v>140</v>
      </c>
      <c r="AK119" s="21" t="str">
        <f aca="false">IFERROR(ADDRESS(MATCH(AJ119, $A$5:$A$180, 0) + 4, COLUMN(A115)), "Not Found")</f>
        <v>$A$119</v>
      </c>
    </row>
    <row r="120" customFormat="false" ht="17.35" hidden="false" customHeight="false" outlineLevel="0" collapsed="false">
      <c r="A120" s="8" t="s">
        <v>141</v>
      </c>
      <c r="B120" s="16" t="b">
        <f aca="false">AND(D120=TRUE(),E120=TRUE())</f>
        <v>1</v>
      </c>
      <c r="C120" s="17" t="s">
        <v>230</v>
      </c>
      <c r="D120" s="16" t="b">
        <f aca="false">AND(INDEX(C:C, MATCH("Death Plateau", AJ:AJ, 0)) = "Y",INDEX(C:C, MATCH("Troll Stronghold", AJ:AJ, 0)) = "Y")</f>
        <v>1</v>
      </c>
      <c r="E120" s="16" t="b">
        <f aca="false">SUMPRODUCT((F120:AD120 &lt;&gt; "") * (F120:AD120 &lt;= F$2:AD$2)) = 1</f>
        <v>1</v>
      </c>
      <c r="F120" s="18" t="n">
        <v>28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9"/>
      <c r="X120" s="18"/>
      <c r="Y120" s="18"/>
      <c r="Z120" s="18"/>
      <c r="AA120" s="18"/>
      <c r="AB120" s="18"/>
      <c r="AC120" s="18"/>
      <c r="AD120" s="18"/>
      <c r="AE120" s="7" t="n">
        <f aca="false">SUMPRODUCT((F120:AA120 - $F$2:$AA$2) * ((F120:AA120 - $F$2:$AA$2) &gt; 0))</f>
        <v>0</v>
      </c>
      <c r="AF120" s="7"/>
      <c r="AG120" s="7"/>
      <c r="AH120" s="7"/>
      <c r="AI120" s="20"/>
      <c r="AJ120" s="8" t="s">
        <v>141</v>
      </c>
      <c r="AK120" s="21" t="str">
        <f aca="false">IFERROR(ADDRESS(MATCH(AJ120, $A$5:$A$180, 0) + 4, COLUMN(A116)), "Not Found")</f>
        <v>$A$120</v>
      </c>
    </row>
    <row r="121" customFormat="false" ht="17.35" hidden="false" customHeight="false" outlineLevel="0" collapsed="false">
      <c r="A121" s="8" t="s">
        <v>142</v>
      </c>
      <c r="B121" s="16" t="b">
        <f aca="false">TRUE()</f>
        <v>1</v>
      </c>
      <c r="C121" s="17" t="s">
        <v>229</v>
      </c>
      <c r="D121" s="16" t="b">
        <f aca="false">AND(INDEX(C:C, MATCH("Death Plateau", AJ:AJ, 0)) = "Y")</f>
        <v>1</v>
      </c>
      <c r="E121" s="16" t="b">
        <f aca="false">SUMPRODUCT((F121:AD121 &lt;&gt; "") * (F121:AD121 &lt;= F$2:AD$2)) = 3</f>
        <v>1</v>
      </c>
      <c r="F121" s="18" t="n">
        <v>15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 t="n">
        <v>43</v>
      </c>
      <c r="U121" s="18"/>
      <c r="V121" s="18"/>
      <c r="W121" s="19"/>
      <c r="X121" s="18"/>
      <c r="Y121" s="18"/>
      <c r="Z121" s="18"/>
      <c r="AA121" s="18" t="n">
        <v>30</v>
      </c>
      <c r="AB121" s="18"/>
      <c r="AC121" s="18"/>
      <c r="AD121" s="18"/>
      <c r="AE121" s="7" t="n">
        <f aca="false">SUMPRODUCT((F121:AA121 - $F$2:$AA$2) * ((F121:AA121 - $F$2:$AA$2) &gt; 0))</f>
        <v>0</v>
      </c>
      <c r="AF121" s="7"/>
      <c r="AG121" s="7"/>
      <c r="AH121" s="7"/>
      <c r="AI121" s="20"/>
      <c r="AJ121" s="8" t="s">
        <v>142</v>
      </c>
      <c r="AK121" s="21" t="str">
        <f aca="false">IFERROR(ADDRESS(MATCH(AJ121, $A$5:$A$180, 0) + 4, COLUMN(A117)), "Not Found")</f>
        <v>$A$121</v>
      </c>
    </row>
    <row r="122" customFormat="false" ht="17.35" hidden="false" customHeight="false" outlineLevel="0" collapsed="false">
      <c r="A122" s="8" t="s">
        <v>143</v>
      </c>
      <c r="B122" s="16" t="b">
        <f aca="false">AND(D122=TRUE(),E122=TRUE())</f>
        <v>1</v>
      </c>
      <c r="C122" s="23" t="s">
        <v>230</v>
      </c>
      <c r="D122" s="16" t="b">
        <f aca="false">AND("Y" = "Y")</f>
        <v>1</v>
      </c>
      <c r="E122" s="16" t="b">
        <f aca="false">SUMPRODUCT((F122:AD122 &lt;&gt; "") * (F122:AD122 &lt;= F$2:AD$2)) = 3</f>
        <v>1</v>
      </c>
      <c r="F122" s="18" t="n">
        <v>40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 t="n">
        <v>25</v>
      </c>
      <c r="V122" s="18"/>
      <c r="W122" s="19"/>
      <c r="X122" s="18"/>
      <c r="Y122" s="18"/>
      <c r="Z122" s="18"/>
      <c r="AA122" s="18" t="n">
        <v>50</v>
      </c>
      <c r="AB122" s="18"/>
      <c r="AC122" s="18"/>
      <c r="AD122" s="18"/>
      <c r="AE122" s="7" t="n">
        <f aca="false">SUMPRODUCT((F122:AA122 - $F$2:$AA$2) * ((F122:AA122 - $F$2:$AA$2) &gt; 0))</f>
        <v>0</v>
      </c>
      <c r="AF122" s="7"/>
      <c r="AG122" s="7"/>
      <c r="AH122" s="7"/>
      <c r="AI122" s="20"/>
      <c r="AJ122" s="8" t="s">
        <v>143</v>
      </c>
      <c r="AK122" s="21" t="str">
        <f aca="false">IFERROR(ADDRESS(MATCH(AJ122, $A$5:$A$180, 0) + 4, COLUMN(A118)), "Not Found")</f>
        <v>$A$122</v>
      </c>
    </row>
    <row r="123" customFormat="false" ht="17.35" hidden="false" customHeight="false" outlineLevel="0" collapsed="false">
      <c r="A123" s="8" t="s">
        <v>144</v>
      </c>
      <c r="B123" s="16" t="b">
        <f aca="false">AND(D123=TRUE(),E123=TRUE())</f>
        <v>1</v>
      </c>
      <c r="C123" s="17" t="s">
        <v>229</v>
      </c>
      <c r="D123" s="16" t="b">
        <f aca="false">TRUE()</f>
        <v>1</v>
      </c>
      <c r="E123" s="16" t="b">
        <f aca="false">SUMPRODUCT((F123:AD123 &lt;&gt; "") * (F123:AD123 &lt;= F$2:AD$2)) = 0</f>
        <v>1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9"/>
      <c r="X123" s="18"/>
      <c r="Y123" s="18"/>
      <c r="Z123" s="18"/>
      <c r="AA123" s="18"/>
      <c r="AB123" s="18"/>
      <c r="AC123" s="18"/>
      <c r="AD123" s="18"/>
      <c r="AE123" s="7" t="n">
        <f aca="false">SUMPRODUCT((F123:AA123 - $F$2:$AA$2) * ((F123:AA123 - $F$2:$AA$2) &gt; 0))</f>
        <v>0</v>
      </c>
      <c r="AF123" s="7"/>
      <c r="AG123" s="7"/>
      <c r="AH123" s="7"/>
      <c r="AI123" s="20"/>
      <c r="AJ123" s="8" t="s">
        <v>144</v>
      </c>
      <c r="AK123" s="21" t="str">
        <f aca="false">IFERROR(ADDRESS(MATCH(AJ123, $A$5:$A$180, 0) + 4, COLUMN(A119)), "Not Found")</f>
        <v>$A$123</v>
      </c>
    </row>
    <row r="124" customFormat="false" ht="17.35" hidden="false" customHeight="false" outlineLevel="0" collapsed="false">
      <c r="A124" s="8" t="s">
        <v>145</v>
      </c>
      <c r="B124" s="16" t="b">
        <f aca="false">AND(D124=TRUE(),E124=TRUE())</f>
        <v>0</v>
      </c>
      <c r="C124" s="17" t="s">
        <v>230</v>
      </c>
      <c r="D124" s="16" t="b">
        <f aca="false">AND(INDEX(C:C, MATCH("Priest in Peril", AJ:AJ, 0)) = "Y",INDEX(C:C, MATCH("Lost Tribe, The" , AJ:AJ, 0)) = "Y",INDEX(C:C, MATCH("Recruitment Drive", AJ:AJ, 0)) = "Y",INDEX(C:C, MATCH("Rune Mysteries", AJ:AJ, 0)) = "Y")</f>
        <v>0</v>
      </c>
      <c r="E124" s="16" t="b">
        <f aca="false">SUMPRODUCT((F124:AD124 &lt;&gt; "") * (F124:AD124 &lt;= F$2:AD$2)) = 1</f>
        <v>1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9"/>
      <c r="X124" s="18"/>
      <c r="Y124" s="18"/>
      <c r="Z124" s="18"/>
      <c r="AA124" s="18"/>
      <c r="AB124" s="18"/>
      <c r="AC124" s="18" t="n">
        <v>32</v>
      </c>
      <c r="AD124" s="18"/>
      <c r="AE124" s="7" t="n">
        <f aca="false">SUMPRODUCT((F124:AA124 - $F$2:$AA$2) * ((F124:AA124 - $F$2:$AA$2) &gt; 0))</f>
        <v>0</v>
      </c>
      <c r="AF124" s="7"/>
      <c r="AG124" s="7"/>
      <c r="AH124" s="7"/>
      <c r="AI124" s="20"/>
      <c r="AJ124" s="8" t="s">
        <v>145</v>
      </c>
      <c r="AK124" s="21" t="str">
        <f aca="false">IFERROR(ADDRESS(MATCH(AJ124, $A$5:$A$180, 0) + 4, COLUMN(A120)), "Not Found")</f>
        <v>$A$124</v>
      </c>
    </row>
    <row r="125" customFormat="false" ht="17.35" hidden="false" customHeight="false" outlineLevel="0" collapsed="false">
      <c r="A125" s="8" t="s">
        <v>146</v>
      </c>
      <c r="B125" s="16" t="b">
        <f aca="false">AND(D125=TRUE(),E125=TRUE())</f>
        <v>1</v>
      </c>
      <c r="C125" s="17" t="s">
        <v>230</v>
      </c>
      <c r="D125" s="16" t="b">
        <f aca="false">TRUE()</f>
        <v>1</v>
      </c>
      <c r="E125" s="16" t="b">
        <f aca="false">SUMPRODUCT((F125:AD125 &lt;&gt; "") * (F125:AD125 &lt;= F$2:AD$2)) = 5</f>
        <v>1</v>
      </c>
      <c r="F125" s="18" t="n">
        <v>25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 t="n">
        <v>14</v>
      </c>
      <c r="Q125" s="18"/>
      <c r="R125" s="18" t="n">
        <v>14</v>
      </c>
      <c r="S125" s="18" t="n">
        <v>40</v>
      </c>
      <c r="T125" s="18"/>
      <c r="U125" s="18"/>
      <c r="V125" s="18"/>
      <c r="W125" s="19"/>
      <c r="X125" s="18"/>
      <c r="Y125" s="18"/>
      <c r="Z125" s="18"/>
      <c r="AA125" s="18" t="n">
        <v>15</v>
      </c>
      <c r="AB125" s="18"/>
      <c r="AC125" s="18"/>
      <c r="AD125" s="18"/>
      <c r="AE125" s="7" t="n">
        <f aca="false">SUMPRODUCT((F125:AA125 - $F$2:$AA$2) * ((F125:AA125 - $F$2:$AA$2) &gt; 0))</f>
        <v>0</v>
      </c>
      <c r="AF125" s="7"/>
      <c r="AG125" s="7"/>
      <c r="AH125" s="7"/>
      <c r="AI125" s="20"/>
      <c r="AJ125" s="8" t="s">
        <v>146</v>
      </c>
      <c r="AK125" s="21" t="str">
        <f aca="false">IFERROR(ADDRESS(MATCH(AJ125, $A$5:$A$180, 0) + 4, COLUMN(A121)), "Not Found")</f>
        <v>$A$125</v>
      </c>
    </row>
    <row r="126" customFormat="false" ht="17.35" hidden="false" customHeight="false" outlineLevel="0" collapsed="false">
      <c r="A126" s="8" t="s">
        <v>147</v>
      </c>
      <c r="B126" s="16" t="b">
        <f aca="false">AND(D126=TRUE(),E126=TRUE())</f>
        <v>1</v>
      </c>
      <c r="C126" s="17" t="s">
        <v>229</v>
      </c>
      <c r="D126" s="16" t="b">
        <f aca="false">TRUE()</f>
        <v>1</v>
      </c>
      <c r="E126" s="16" t="b">
        <f aca="false">SUMPRODUCT((F126:AD126 &lt;&gt; "") * (F126:AD126 &lt;= F$2:AD$2)) = 0</f>
        <v>1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9"/>
      <c r="X126" s="18"/>
      <c r="Y126" s="18"/>
      <c r="Z126" s="18"/>
      <c r="AA126" s="18"/>
      <c r="AB126" s="18"/>
      <c r="AC126" s="18"/>
      <c r="AD126" s="18"/>
      <c r="AE126" s="7" t="n">
        <f aca="false">SUMPRODUCT((F126:AA126 - $F$2:$AA$2) * ((F126:AA126 - $F$2:$AA$2) &gt; 0))</f>
        <v>0</v>
      </c>
      <c r="AF126" s="7"/>
      <c r="AG126" s="7"/>
      <c r="AH126" s="7"/>
      <c r="AI126" s="20"/>
      <c r="AJ126" s="8" t="s">
        <v>147</v>
      </c>
      <c r="AK126" s="21" t="str">
        <f aca="false">IFERROR(ADDRESS(MATCH(AJ126, $A$5:$A$180, 0) + 4, COLUMN(A122)), "Not Found")</f>
        <v>$A$126</v>
      </c>
    </row>
    <row r="127" customFormat="false" ht="17.35" hidden="false" customHeight="false" outlineLevel="0" collapsed="false">
      <c r="A127" s="8" t="s">
        <v>148</v>
      </c>
      <c r="B127" s="16" t="b">
        <f aca="false">AND(D127=TRUE(),E127=TRUE())</f>
        <v>0</v>
      </c>
      <c r="C127" s="17" t="s">
        <v>230</v>
      </c>
      <c r="D127" s="16" t="b">
        <f aca="false">AND(INDEX(C:C, MATCH("Rune Mysteries", AJ:AJ, 0)) = "Y")</f>
        <v>1</v>
      </c>
      <c r="E127" s="16" t="b">
        <f aca="false">SUMPRODUCT((F127:AD127 &lt;&gt; "") * (F127:AD127 &lt;= F$2:AD$2)) = 2</f>
        <v>0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 t="n">
        <v>42</v>
      </c>
      <c r="T127" s="18"/>
      <c r="U127" s="18"/>
      <c r="V127" s="18" t="n">
        <v>35</v>
      </c>
      <c r="W127" s="19"/>
      <c r="X127" s="18"/>
      <c r="Y127" s="18"/>
      <c r="Z127" s="18"/>
      <c r="AA127" s="18"/>
      <c r="AB127" s="18"/>
      <c r="AC127" s="18"/>
      <c r="AD127" s="18"/>
      <c r="AE127" s="7" t="n">
        <f aca="false">SUMPRODUCT((F127:AA127 - $F$2:$AA$2) * ((F127:AA127 - $F$2:$AA$2) &gt; 0))</f>
        <v>12</v>
      </c>
      <c r="AF127" s="7"/>
      <c r="AG127" s="7"/>
      <c r="AH127" s="7"/>
      <c r="AI127" s="20"/>
      <c r="AJ127" s="8" t="s">
        <v>148</v>
      </c>
      <c r="AK127" s="21" t="str">
        <f aca="false">IFERROR(ADDRESS(MATCH(AJ127, $A$5:$A$180, 0) + 4, COLUMN(A123)), "Not Found")</f>
        <v>$A$127</v>
      </c>
    </row>
    <row r="128" customFormat="false" ht="17.35" hidden="false" customHeight="false" outlineLevel="0" collapsed="false">
      <c r="A128" s="8" t="s">
        <v>149</v>
      </c>
      <c r="B128" s="16" t="b">
        <f aca="false">AND(D128=TRUE(),E128=TRUE())</f>
        <v>1</v>
      </c>
      <c r="C128" s="23" t="s">
        <v>229</v>
      </c>
      <c r="D128" s="16" t="b">
        <f aca="false">TRUE()</f>
        <v>1</v>
      </c>
      <c r="E128" s="16" t="b">
        <f aca="false">SUMPRODUCT((F128:AD128 &lt;&gt; "") * (F128:AD128 &lt;= F$2:AD$2)) = 0</f>
        <v>1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9"/>
      <c r="X128" s="18"/>
      <c r="Y128" s="18"/>
      <c r="Z128" s="18"/>
      <c r="AA128" s="18"/>
      <c r="AB128" s="18"/>
      <c r="AC128" s="18"/>
      <c r="AD128" s="18"/>
      <c r="AE128" s="7" t="n">
        <f aca="false">SUMPRODUCT((F128:AA128 - $F$2:$AA$2) * ((F128:AA128 - $F$2:$AA$2) &gt; 0))</f>
        <v>0</v>
      </c>
      <c r="AF128" s="7"/>
      <c r="AG128" s="7"/>
      <c r="AH128" s="7"/>
      <c r="AI128" s="20"/>
      <c r="AJ128" s="8" t="s">
        <v>149</v>
      </c>
      <c r="AK128" s="21" t="str">
        <f aca="false">IFERROR(ADDRESS(MATCH(AJ128, $A$5:$A$180, 0) + 4, COLUMN(A124)), "Not Found")</f>
        <v>$A$128</v>
      </c>
    </row>
    <row r="129" customFormat="false" ht="17.35" hidden="false" customHeight="false" outlineLevel="0" collapsed="false">
      <c r="A129" s="8" t="s">
        <v>150</v>
      </c>
      <c r="B129" s="16" t="b">
        <f aca="false">AND(D129=TRUE(),E129=TRUE())</f>
        <v>1</v>
      </c>
      <c r="C129" s="17" t="s">
        <v>229</v>
      </c>
      <c r="D129" s="16" t="b">
        <f aca="false">TRUE()</f>
        <v>1</v>
      </c>
      <c r="E129" s="16" t="b">
        <f aca="false">SUMPRODUCT((F129:AD129 &lt;&gt; "") * (F129:AD129 &lt;= F$2:AD$2)) = 0</f>
        <v>1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9"/>
      <c r="X129" s="18"/>
      <c r="Y129" s="18"/>
      <c r="Z129" s="18"/>
      <c r="AA129" s="18"/>
      <c r="AB129" s="18"/>
      <c r="AC129" s="18"/>
      <c r="AD129" s="18"/>
      <c r="AE129" s="7" t="n">
        <f aca="false">SUMPRODUCT((F129:AA129 - $F$2:$AA$2) * ((F129:AA129 - $F$2:$AA$2) &gt; 0))</f>
        <v>0</v>
      </c>
      <c r="AF129" s="7"/>
      <c r="AG129" s="7"/>
      <c r="AH129" s="7"/>
      <c r="AI129" s="20"/>
      <c r="AJ129" s="8" t="s">
        <v>150</v>
      </c>
      <c r="AK129" s="21" t="str">
        <f aca="false">IFERROR(ADDRESS(MATCH(AJ129, $A$5:$A$180, 0) + 4, COLUMN(A125)), "Not Found")</f>
        <v>$A$129</v>
      </c>
    </row>
    <row r="130" customFormat="false" ht="17.35" hidden="false" customHeight="false" outlineLevel="0" collapsed="false">
      <c r="A130" s="8" t="s">
        <v>151</v>
      </c>
      <c r="B130" s="16" t="b">
        <f aca="false">AND(D130=TRUE(),E130=TRUE())</f>
        <v>1</v>
      </c>
      <c r="C130" s="17" t="s">
        <v>229</v>
      </c>
      <c r="D130" s="16" t="b">
        <f aca="false">AND(INDEX(C:C, MATCH("big chompy bird hunting", AJ:AJ, 0)) = "Y",INDEX(C:C, MATCH("Jungle Potion", AJ:AJ, 0)) = "Y")</f>
        <v>1</v>
      </c>
      <c r="E130" s="16" t="b">
        <f aca="false">SUMPRODUCT((F130:AD130 &lt;&gt; "") * (F130:AD130 &lt;= F$2:AD$2)) = 6</f>
        <v>1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 t="n">
        <v>30</v>
      </c>
      <c r="P130" s="18" t="n">
        <v>8</v>
      </c>
      <c r="Q130" s="18"/>
      <c r="R130" s="18"/>
      <c r="S130" s="18"/>
      <c r="T130" s="18" t="n">
        <v>43</v>
      </c>
      <c r="U130" s="18" t="n">
        <v>30</v>
      </c>
      <c r="V130" s="18"/>
      <c r="W130" s="19"/>
      <c r="X130" s="18"/>
      <c r="Y130" s="18" t="n">
        <v>4</v>
      </c>
      <c r="Z130" s="18" t="n">
        <v>20</v>
      </c>
      <c r="AA130" s="18"/>
      <c r="AB130" s="18"/>
      <c r="AC130" s="18"/>
      <c r="AD130" s="18"/>
      <c r="AE130" s="7" t="n">
        <f aca="false">SUMPRODUCT((F130:AA130 - $F$2:$AA$2) * ((F130:AA130 - $F$2:$AA$2) &gt; 0))</f>
        <v>0</v>
      </c>
      <c r="AF130" s="7"/>
      <c r="AG130" s="7"/>
      <c r="AH130" s="7"/>
      <c r="AI130" s="20"/>
      <c r="AJ130" s="8" t="s">
        <v>151</v>
      </c>
      <c r="AK130" s="21" t="str">
        <f aca="false">IFERROR(ADDRESS(MATCH(AJ130, $A$5:$A$180, 0) + 4, COLUMN(A126)), "Not Found")</f>
        <v>$A$130</v>
      </c>
    </row>
    <row r="131" customFormat="false" ht="17.35" hidden="false" customHeight="false" outlineLevel="0" collapsed="false">
      <c r="A131" s="8" t="s">
        <v>152</v>
      </c>
      <c r="B131" s="16" t="b">
        <f aca="false">AND(D131=TRUE(),E131=TRUE())</f>
        <v>1</v>
      </c>
      <c r="C131" s="23" t="s">
        <v>229</v>
      </c>
      <c r="D131" s="16" t="b">
        <f aca="false">AND(INDEX(C:C, MATCH("Nature Spirit", AJ:AJ, 0)) = "Y")</f>
        <v>1</v>
      </c>
      <c r="E131" s="16" t="b">
        <f aca="false">SUMPRODUCT((F131:AD131 &lt;&gt; "") * (F131:AD131 &lt;= F$2:AD$2)) = 1</f>
        <v>1</v>
      </c>
      <c r="F131" s="18" t="n">
        <v>25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9"/>
      <c r="X131" s="18"/>
      <c r="Y131" s="18"/>
      <c r="Z131" s="18"/>
      <c r="AA131" s="18"/>
      <c r="AB131" s="18"/>
      <c r="AC131" s="18"/>
      <c r="AD131" s="18"/>
      <c r="AE131" s="7" t="n">
        <f aca="false">SUMPRODUCT((F131:AA131 - $F$2:$AA$2) * ((F131:AA131 - $F$2:$AA$2) &gt; 0))</f>
        <v>0</v>
      </c>
      <c r="AF131" s="7"/>
      <c r="AG131" s="7"/>
      <c r="AH131" s="7"/>
      <c r="AI131" s="20"/>
      <c r="AJ131" s="8" t="s">
        <v>152</v>
      </c>
      <c r="AK131" s="21" t="str">
        <f aca="false">IFERROR(ADDRESS(MATCH(AJ131, $A$5:$A$180, 0) + 4, COLUMN(A127)), "Not Found")</f>
        <v>$A$131</v>
      </c>
    </row>
    <row r="132" customFormat="false" ht="17.35" hidden="false" customHeight="false" outlineLevel="0" collapsed="false">
      <c r="A132" s="11" t="s">
        <v>153</v>
      </c>
      <c r="B132" s="16" t="b">
        <f aca="false">AND(D134=TRUE(),E132=TRUE())</f>
        <v>0</v>
      </c>
      <c r="C132" s="26" t="s">
        <v>230</v>
      </c>
      <c r="D132" s="27" t="b">
        <f aca="false">AND(INDEX(C:C, MATCH("Enlightened Journey", AJ:AJ, 0)) = "Y", INDEX(C:C, MATCH("Eyes of Glouphrie, The" , AJ:AJ, 0)) = "Y", INDEX(C:C, MATCH("Recipe for Disaster", AJ:AJ, 0)) = "Y", INDEX(C:C, MATCH("Troll Stronghold", AJ:AJ, 0)) = "Y", INDEX(C:C, MATCH("Watchtower", AJ:AJ, 0)) = "Y")</f>
        <v>0</v>
      </c>
      <c r="E132" s="16" t="b">
        <f aca="false">SUMPRODUCT((F132:AD132 &lt;&gt; "") * (F132:AD132 &lt;= F$2:AD$2)) = 6</f>
        <v>0</v>
      </c>
      <c r="F132" s="19" t="n">
        <v>55</v>
      </c>
      <c r="G132" s="19"/>
      <c r="H132" s="19"/>
      <c r="I132" s="19"/>
      <c r="J132" s="19" t="n">
        <v>70</v>
      </c>
      <c r="K132" s="19"/>
      <c r="L132" s="19"/>
      <c r="M132" s="19" t="n">
        <v>60</v>
      </c>
      <c r="N132" s="19"/>
      <c r="O132" s="19"/>
      <c r="P132" s="19"/>
      <c r="Q132" s="19" t="n">
        <v>60</v>
      </c>
      <c r="R132" s="19"/>
      <c r="S132" s="19"/>
      <c r="T132" s="19"/>
      <c r="U132" s="19"/>
      <c r="V132" s="19"/>
      <c r="W132" s="19"/>
      <c r="X132" s="19" t="n">
        <v>69</v>
      </c>
      <c r="Y132" s="19"/>
      <c r="Z132" s="19"/>
      <c r="AA132" s="19" t="n">
        <v>55</v>
      </c>
      <c r="AB132" s="19"/>
      <c r="AC132" s="19"/>
      <c r="AD132" s="19"/>
      <c r="AE132" s="7" t="n">
        <f aca="false">SUMPRODUCT((F132:AA132 - $F$2:$AA$2) * ((F132:AA132 - $F$2:$AA$2) &gt; 0))</f>
        <v>71</v>
      </c>
      <c r="AF132" s="7"/>
      <c r="AG132" s="7"/>
      <c r="AH132" s="7"/>
      <c r="AI132" s="20"/>
      <c r="AJ132" s="11" t="s">
        <v>153</v>
      </c>
      <c r="AK132" s="21" t="str">
        <f aca="false">IFERROR(ADDRESS(MATCH(AJ132, $A$5:$A$180, 0) + 4, COLUMN(A128)), "Not Found")</f>
        <v>$A$132</v>
      </c>
    </row>
    <row r="133" customFormat="false" ht="15.75" hidden="false" customHeight="true" outlineLevel="0" collapsed="false">
      <c r="A133" s="11" t="s">
        <v>154</v>
      </c>
      <c r="B133" s="16" t="b">
        <f aca="false">AND(D133=TRUE(),E133=TRUE())</f>
        <v>1</v>
      </c>
      <c r="C133" s="26" t="s">
        <v>229</v>
      </c>
      <c r="D133" s="27" t="b">
        <f aca="false">TRUE()</f>
        <v>1</v>
      </c>
      <c r="E133" s="16" t="b">
        <f aca="false">SUMPRODUCT((F133:AD133 &lt;&gt; "") * (F133:AD133 &lt;= F$2:AD$2)) = 0</f>
        <v>1</v>
      </c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7" t="n">
        <f aca="false">SUMPRODUCT((F133:AA133 - $F$2:$AA$2) * ((F133:AA133 - $F$2:$AA$2) &gt; 0))</f>
        <v>0</v>
      </c>
      <c r="AF133" s="7"/>
      <c r="AG133" s="7"/>
      <c r="AH133" s="7"/>
      <c r="AI133" s="20"/>
      <c r="AJ133" s="11" t="s">
        <v>154</v>
      </c>
      <c r="AK133" s="21" t="str">
        <f aca="false">IFERROR(ADDRESS(MATCH(AJ133, $A$5:$A$180, 0) + 4, COLUMN(A129)), "Not Found")</f>
        <v>$A$133</v>
      </c>
    </row>
    <row r="134" customFormat="false" ht="15.75" hidden="false" customHeight="true" outlineLevel="0" collapsed="false">
      <c r="A134" s="11" t="s">
        <v>155</v>
      </c>
      <c r="B134" s="16" t="b">
        <f aca="false">AND(D134=TRUE(),E134=TRUE())</f>
        <v>1</v>
      </c>
      <c r="C134" s="26" t="s">
        <v>229</v>
      </c>
      <c r="D134" s="27" t="b">
        <f aca="false">TRUE()</f>
        <v>1</v>
      </c>
      <c r="E134" s="16" t="b">
        <f aca="false">SUMPRODUCT((F134:AD134 &lt;&gt; "") * (F134:AD134 &lt;= F$2:AD$2)) = 0</f>
        <v>1</v>
      </c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7" t="n">
        <f aca="false">SUMPRODUCT((F134:AA134 - $F$2:$AA$2) * ((F134:AA134 - $F$2:$AA$2) &gt; 0))</f>
        <v>0</v>
      </c>
      <c r="AF134" s="7"/>
      <c r="AG134" s="7"/>
      <c r="AH134" s="7"/>
      <c r="AI134" s="20"/>
      <c r="AJ134" s="11" t="s">
        <v>155</v>
      </c>
      <c r="AK134" s="21" t="str">
        <f aca="false">IFERROR(ADDRESS(MATCH(AJ134, $A$5:$A$180, 0) + 4, COLUMN(A130)), "Not Found")</f>
        <v>$A$134</v>
      </c>
    </row>
    <row r="135" customFormat="false" ht="15.75" hidden="false" customHeight="true" outlineLevel="0" collapsed="false">
      <c r="A135" s="11" t="s">
        <v>156</v>
      </c>
      <c r="B135" s="16" t="b">
        <f aca="false">AND(D135=TRUE(),E135=TRUE())</f>
        <v>1</v>
      </c>
      <c r="C135" s="26" t="s">
        <v>229</v>
      </c>
      <c r="D135" s="27" t="b">
        <f aca="false">AND(INDEX(C:C, MATCH("Digsite, The", AJ:AJ, 0)) = "Y")</f>
        <v>1</v>
      </c>
      <c r="E135" s="16" t="b">
        <f aca="false">SUMPRODUCT((F135:AD135 &lt;&gt; "") * (F135:AD135 &lt;= F$2:AD$2)) = 0</f>
        <v>1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7" t="n">
        <f aca="false">SUMPRODUCT((F135:AA135 - $F$2:$AA$2) * ((F135:AA135 - $F$2:$AA$2) &gt; 0))</f>
        <v>0</v>
      </c>
      <c r="AF135" s="7"/>
      <c r="AG135" s="7"/>
      <c r="AH135" s="7"/>
      <c r="AI135" s="20"/>
      <c r="AJ135" s="11" t="s">
        <v>156</v>
      </c>
      <c r="AK135" s="21" t="str">
        <f aca="false">IFERROR(ADDRESS(MATCH(AJ135, $A$5:$A$180, 0) + 4, COLUMN(A131)), "Not Found")</f>
        <v>$A$135</v>
      </c>
    </row>
    <row r="136" customFormat="false" ht="15.75" hidden="false" customHeight="true" outlineLevel="0" collapsed="false">
      <c r="A136" s="9" t="s">
        <v>248</v>
      </c>
      <c r="B136" s="16" t="b">
        <f aca="false">AND(D136=TRUE(),E136=TRUE())</f>
        <v>1</v>
      </c>
      <c r="C136" s="26" t="s">
        <v>229</v>
      </c>
      <c r="D136" s="27" t="b">
        <f aca="false">AND(INDEX(C:C, MATCH("Client of Kourend", AJ:AJ, 0)) = "Y")</f>
        <v>1</v>
      </c>
      <c r="E136" s="16" t="b">
        <f aca="false">SUMPRODUCT((F136:AD136 &lt;&gt; "") * (F136:AD136 &lt;= F$2:AD$2)) = 0</f>
        <v>1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7" t="n">
        <f aca="false">SUMPRODUCT((F136:AA136 - $F$2:$AA$2) * ((F136:AA136 - $F$2:$AA$2) &gt; 0))</f>
        <v>0</v>
      </c>
      <c r="AF136" s="7"/>
      <c r="AG136" s="7"/>
      <c r="AH136" s="7"/>
      <c r="AI136" s="20"/>
      <c r="AJ136" s="9" t="s">
        <v>248</v>
      </c>
      <c r="AK136" s="21" t="str">
        <f aca="false">IFERROR(ADDRESS(MATCH(AJ136, $A$5:$A$180, 0) + 4, COLUMN(A132)), "Not Found")</f>
        <v>$A$136</v>
      </c>
    </row>
    <row r="137" customFormat="false" ht="15.75" hidden="false" customHeight="true" outlineLevel="0" collapsed="false">
      <c r="A137" s="9" t="s">
        <v>249</v>
      </c>
      <c r="B137" s="16" t="b">
        <f aca="false">AND(D137=TRUE(),E137=TRUE())</f>
        <v>1</v>
      </c>
      <c r="C137" s="26" t="s">
        <v>229</v>
      </c>
      <c r="D137" s="27" t="b">
        <f aca="false">AND(INDEX(C:C, MATCH("Client of Kourend", AJ:AJ, 0)) = "Y")</f>
        <v>1</v>
      </c>
      <c r="E137" s="16" t="b">
        <f aca="false">SUMPRODUCT((F137:AD137 &lt;&gt; "") * (F137:AD137 &lt;= F$2:AD$2)) = 1</f>
        <v>1</v>
      </c>
      <c r="F137" s="19" t="n">
        <v>18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7" t="n">
        <f aca="false">SUMPRODUCT((F137:AA137 - $F$2:$AA$2) * ((F137:AA137 - $F$2:$AA$2) &gt; 0))</f>
        <v>0</v>
      </c>
      <c r="AF137" s="7"/>
      <c r="AG137" s="7"/>
      <c r="AH137" s="7"/>
      <c r="AI137" s="20"/>
      <c r="AJ137" s="9" t="s">
        <v>249</v>
      </c>
      <c r="AK137" s="21" t="str">
        <f aca="false">IFERROR(ADDRESS(MATCH(AJ137, $A$5:$A$180, 0) + 4, COLUMN(A133)), "Not Found")</f>
        <v>$A$137</v>
      </c>
    </row>
    <row r="138" customFormat="false" ht="15.75" hidden="false" customHeight="true" outlineLevel="0" collapsed="false">
      <c r="A138" s="9" t="s">
        <v>194</v>
      </c>
      <c r="B138" s="16" t="b">
        <f aca="false">AND(D138=TRUE(),E138=TRUE())</f>
        <v>1</v>
      </c>
      <c r="C138" s="26" t="s">
        <v>229</v>
      </c>
      <c r="D138" s="27" t="b">
        <f aca="false">TRUE()</f>
        <v>1</v>
      </c>
      <c r="E138" s="16" t="b">
        <f aca="false">SUMPRODUCT((F138:AD138 &lt;&gt; "") * (F138:AD138 &lt;= F$2:AD$2)) = 0</f>
        <v>1</v>
      </c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7" t="n">
        <f aca="false">SUMPRODUCT((F138:AA138 - $F$2:$AA$2) * ((F138:AA138 - $F$2:$AA$2) &gt; 0))</f>
        <v>0</v>
      </c>
      <c r="AF138" s="7"/>
      <c r="AG138" s="7"/>
      <c r="AH138" s="7"/>
      <c r="AI138" s="20"/>
      <c r="AJ138" s="9" t="s">
        <v>194</v>
      </c>
      <c r="AK138" s="21" t="str">
        <f aca="false">IFERROR(ADDRESS(MATCH(AJ138, $A$5:$A$180, 0) + 4, COLUMN(A134)), "Not Found")</f>
        <v>$A$138</v>
      </c>
    </row>
    <row r="139" customFormat="false" ht="15.75" hidden="false" customHeight="true" outlineLevel="0" collapsed="false">
      <c r="A139" s="11" t="s">
        <v>160</v>
      </c>
      <c r="B139" s="16" t="b">
        <f aca="false">AND(D139=TRUE(),E139=TRUE())</f>
        <v>0</v>
      </c>
      <c r="C139" s="26" t="s">
        <v>230</v>
      </c>
      <c r="D139" s="27" t="b">
        <f aca="false">AND(INDEX(C:C, MATCH("Legends Quest", AJ:AJ, 0)) = "Y",INDEX(C:C, MATCH("Dream Mentor", AJ:AJ, 0)) = "Y",INDEX(C:C, MATCH("Tail of Two Cats, A", AJ:AJ, 0)) = "Y",INDEX(C:C, MATCH("animal magnetism", AJ:AJ, 0)) = "Y",INDEX(C:C, MATCH("Ghosts Ahoy", AJ:AJ, 0)) = "Y",INDEX(C:C, MATCH("Bone Voyage", AJ:AJ, 0)) = "Y",INDEX(C:C, MATCH("Client of Kourend", AJ:AJ, 0)) = "Y")</f>
        <v>0</v>
      </c>
      <c r="E139" s="16" t="b">
        <f aca="false">SUMPRODUCT((F139:AD139 &lt;&gt; "") * (F139:AD139 &lt;= F$2:AD$2)) = 1</f>
        <v>0</v>
      </c>
      <c r="F139" s="19" t="n">
        <v>60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7" t="n">
        <f aca="false">SUMPRODUCT((F139:AA139 - $F$2:$AA$2) * ((F139:AA139 - $F$2:$AA$2) &gt; 0))</f>
        <v>15</v>
      </c>
      <c r="AF139" s="7"/>
      <c r="AG139" s="7"/>
      <c r="AH139" s="7"/>
      <c r="AI139" s="20"/>
      <c r="AJ139" s="11" t="s">
        <v>160</v>
      </c>
      <c r="AK139" s="21" t="str">
        <f aca="false">IFERROR(ADDRESS(MATCH(AJ139, $A$5:$A$180, 0) + 4, COLUMN(A135)), "Not Found")</f>
        <v>$A$139</v>
      </c>
    </row>
    <row r="140" customFormat="false" ht="15.75" hidden="false" customHeight="true" outlineLevel="0" collapsed="false">
      <c r="A140" s="11" t="s">
        <v>161</v>
      </c>
      <c r="B140" s="16" t="b">
        <f aca="false">AND(D140=TRUE(),E140=TRUE())</f>
        <v>1</v>
      </c>
      <c r="C140" s="26" t="s">
        <v>229</v>
      </c>
      <c r="D140" s="27" t="b">
        <f aca="false">AND(INDEX(C:C, MATCH("Client of Kourend", AJ:AJ, 0)) = "Y")</f>
        <v>1</v>
      </c>
      <c r="E140" s="16" t="b">
        <f aca="false">SUMPRODUCT((F140:AD140 &lt;&gt; "") * (F140:AD140 &lt;= F$2:AD$2)) = 2</f>
        <v>1</v>
      </c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 t="n">
        <v>10</v>
      </c>
      <c r="T140" s="19"/>
      <c r="U140" s="19"/>
      <c r="V140" s="19"/>
      <c r="W140" s="19"/>
      <c r="X140" s="19"/>
      <c r="Y140" s="19"/>
      <c r="Z140" s="19" t="n">
        <v>16</v>
      </c>
      <c r="AA140" s="19"/>
      <c r="AB140" s="19"/>
      <c r="AC140" s="19"/>
      <c r="AD140" s="19"/>
      <c r="AE140" s="7" t="n">
        <f aca="false">SUMPRODUCT((F140:AA140 - $F$2:$AA$2) * ((F140:AA140 - $F$2:$AA$2) &gt; 0))</f>
        <v>0</v>
      </c>
      <c r="AF140" s="7"/>
      <c r="AG140" s="7"/>
      <c r="AH140" s="7"/>
      <c r="AI140" s="20"/>
      <c r="AJ140" s="11" t="s">
        <v>161</v>
      </c>
      <c r="AK140" s="21" t="str">
        <f aca="false">IFERROR(ADDRESS(MATCH(AJ140, $A$5:$A$180, 0) + 4, COLUMN(A136)), "Not Found")</f>
        <v>$A$140</v>
      </c>
    </row>
    <row r="141" customFormat="false" ht="15.75" hidden="false" customHeight="true" outlineLevel="0" collapsed="false">
      <c r="A141" s="9" t="s">
        <v>250</v>
      </c>
      <c r="B141" s="16" t="b">
        <f aca="false">AND(D141=TRUE(),E141=TRUE())</f>
        <v>0</v>
      </c>
      <c r="C141" s="26" t="s">
        <v>230</v>
      </c>
      <c r="D141" s="27" t="b">
        <f aca="false">AND(INDEX(C:C, MATCH("Darkness of Hallowvale", AJ:AJ, 0)) = "Y")</f>
        <v>0</v>
      </c>
      <c r="E141" s="16" t="b">
        <f aca="false">SUMPRODUCT((F141:AD141 &lt;&gt; "") * (F141:AD141 &lt;= F$2:AD$2)) = 0</f>
        <v>1</v>
      </c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7" t="n">
        <f aca="false">SUMPRODUCT((F141:AA141 - $F$2:$AA$2) * ((F141:AA141 - $F$2:$AA$2) &gt; 0))</f>
        <v>0</v>
      </c>
      <c r="AF141" s="7"/>
      <c r="AG141" s="7"/>
      <c r="AH141" s="7"/>
      <c r="AI141" s="20"/>
      <c r="AJ141" s="9" t="s">
        <v>250</v>
      </c>
      <c r="AK141" s="21" t="str">
        <f aca="false">IFERROR(ADDRESS(MATCH(AJ141, $A$5:$A$180, 0) + 4, COLUMN(A137)), "Not Found")</f>
        <v>$A$141</v>
      </c>
    </row>
    <row r="142" customFormat="false" ht="15.75" hidden="false" customHeight="true" outlineLevel="0" collapsed="false">
      <c r="A142" s="11" t="s">
        <v>163</v>
      </c>
      <c r="B142" s="16" t="b">
        <f aca="false">AND(D142=TRUE(),E142=TRUE())</f>
        <v>0</v>
      </c>
      <c r="C142" s="26" t="s">
        <v>230</v>
      </c>
      <c r="D142" s="27" t="b">
        <f aca="false">AND(INDEX(C:C, MATCH("My Arm's Big Adventure", AJ:AJ, 0)) = "Y",INDEX(C:C, MATCH("Swan Song", AJ:AJ, 0)) = "Y",INDEX(C:C, MATCH("Cold War", AJ:AJ, 0)) = "Y")</f>
        <v>0</v>
      </c>
      <c r="E142" s="16" t="b">
        <f aca="false">SUMPRODUCT((F142:AD142 &lt;&gt; "") * (F142:AD142 &lt;= F$2:AD$2)) = 4</f>
        <v>0</v>
      </c>
      <c r="F142" s="28" t="n">
        <v>68</v>
      </c>
      <c r="G142" s="19"/>
      <c r="H142" s="19" t="n">
        <v>35</v>
      </c>
      <c r="I142" s="19"/>
      <c r="J142" s="19"/>
      <c r="K142" s="19"/>
      <c r="L142" s="19"/>
      <c r="M142" s="19" t="n">
        <v>66</v>
      </c>
      <c r="N142" s="19"/>
      <c r="O142" s="19"/>
      <c r="P142" s="19"/>
      <c r="Q142" s="19"/>
      <c r="R142" s="19"/>
      <c r="S142" s="19" t="n">
        <v>72</v>
      </c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7" t="n">
        <f aca="false">SUMPRODUCT((F142:AA142 - $F$2:$AA$2) * ((F142:AA142 - $F$2:$AA$2) &gt; 0))</f>
        <v>44</v>
      </c>
      <c r="AF142" s="7"/>
      <c r="AG142" s="7"/>
      <c r="AH142" s="7"/>
      <c r="AI142" s="20"/>
      <c r="AJ142" s="11" t="s">
        <v>163</v>
      </c>
      <c r="AK142" s="21" t="str">
        <f aca="false">IFERROR(ADDRESS(MATCH(AJ142, $A$5:$A$180, 0) + 4, COLUMN(A138)), "Not Found")</f>
        <v>$A$142</v>
      </c>
    </row>
    <row r="143" customFormat="false" ht="15.75" hidden="false" customHeight="true" outlineLevel="0" collapsed="false">
      <c r="A143" s="9" t="s">
        <v>251</v>
      </c>
      <c r="B143" s="16" t="b">
        <f aca="false">AND(D143=TRUE(),E143=TRUE())</f>
        <v>0</v>
      </c>
      <c r="C143" s="26" t="s">
        <v>230</v>
      </c>
      <c r="D143" s="27" t="b">
        <f aca="false">AND(INDEX(C:C, MATCH("Mourning's Ends Part II", AJ:AJ, 0)) = "Y",INDEX(C:C, MATCH("Making History", AJ:AJ, 0)) = "Y",INDEX(C:C, MATCH("Druidic Ritual", AJ:AJ, 0)) = "Y")</f>
        <v>0</v>
      </c>
      <c r="E143" s="16" t="b">
        <f aca="false">SUMPRODUCT((F143:AD143 &lt;&gt; "") * (F143:AD143 &lt;= F$2:AD$2)) = 1</f>
        <v>1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 t="n">
        <v>12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7" t="n">
        <f aca="false">SUMPRODUCT((F143:AA143 - $F$2:$AA$2) * ((F143:AA143 - $F$2:$AA$2) &gt; 0))</f>
        <v>0</v>
      </c>
      <c r="AF143" s="7"/>
      <c r="AG143" s="7"/>
      <c r="AH143" s="7"/>
      <c r="AI143" s="20"/>
      <c r="AJ143" s="9" t="s">
        <v>251</v>
      </c>
      <c r="AK143" s="21" t="str">
        <f aca="false">IFERROR(ADDRESS(MATCH(AJ143, $A$5:$A$180, 0) + 4, COLUMN(A139)), "Not Found")</f>
        <v>$A$143</v>
      </c>
    </row>
    <row r="144" customFormat="false" ht="15.75" hidden="false" customHeight="true" outlineLevel="0" collapsed="false">
      <c r="A144" s="9" t="s">
        <v>252</v>
      </c>
      <c r="B144" s="16" t="b">
        <f aca="false">AND(D144=TRUE(),E144=TRUE())</f>
        <v>1</v>
      </c>
      <c r="C144" s="26" t="s">
        <v>229</v>
      </c>
      <c r="D144" s="27" t="b">
        <f aca="false">AND(INDEX(C:C, MATCH("Client of Kourend", AJ:AJ, 0)) = "Y")</f>
        <v>1</v>
      </c>
      <c r="E144" s="16" t="b">
        <f aca="false">SUMPRODUCT((F144:AD144 &lt;&gt; "") * (F144:AD144 &lt;= F$2:AD$2)) = 0</f>
        <v>1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7" t="n">
        <f aca="false">SUMPRODUCT((F144:AA144 - $F$2:$AA$2) * ((F144:AA144 - $F$2:$AA$2) &gt; 0))</f>
        <v>0</v>
      </c>
      <c r="AF144" s="7"/>
      <c r="AG144" s="7"/>
      <c r="AH144" s="7"/>
      <c r="AI144" s="20"/>
      <c r="AJ144" s="9" t="s">
        <v>252</v>
      </c>
      <c r="AK144" s="21" t="str">
        <f aca="false">IFERROR(ADDRESS(MATCH(AJ144, $A$5:$A$180, 0) + 4, COLUMN(A140)), "Not Found")</f>
        <v>$A$144</v>
      </c>
    </row>
    <row r="145" customFormat="false" ht="15.75" hidden="false" customHeight="true" outlineLevel="0" collapsed="false">
      <c r="A145" s="11" t="s">
        <v>166</v>
      </c>
      <c r="B145" s="16" t="b">
        <f aca="false">AND(D145=TRUE(),E145=TRUE())</f>
        <v>1</v>
      </c>
      <c r="C145" s="26" t="s">
        <v>229</v>
      </c>
      <c r="D145" s="27" t="b">
        <f aca="false">TRUE()</f>
        <v>1</v>
      </c>
      <c r="E145" s="16" t="b">
        <f aca="false">SUMPRODUCT((F145:AD145 &lt;&gt; "") * (F145:AD145 &lt;= F$2:AD$2)) = 0</f>
        <v>1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7" t="n">
        <f aca="false">SUMPRODUCT((F145:AA145 - $F$2:$AA$2) * ((F145:AA145 - $F$2:$AA$2) &gt; 0))</f>
        <v>0</v>
      </c>
      <c r="AF145" s="7"/>
      <c r="AG145" s="7"/>
      <c r="AH145" s="7"/>
      <c r="AI145" s="20"/>
      <c r="AJ145" s="11" t="s">
        <v>166</v>
      </c>
      <c r="AK145" s="21" t="str">
        <f aca="false">IFERROR(ADDRESS(MATCH(AJ145, $A$5:$A$180, 0) + 4, COLUMN(A141)), "Not Found")</f>
        <v>$A$145</v>
      </c>
    </row>
    <row r="146" customFormat="false" ht="15.75" hidden="false" customHeight="true" outlineLevel="0" collapsed="false">
      <c r="A146" s="11" t="s">
        <v>167</v>
      </c>
      <c r="B146" s="16" t="b">
        <f aca="false">AND(D146=TRUE(),E146=TRUE())</f>
        <v>0</v>
      </c>
      <c r="C146" s="26" t="s">
        <v>230</v>
      </c>
      <c r="D146" s="27" t="b">
        <f aca="false">AND(INDEX(C:C, MATCH("Grand Tree, The", AJ:AJ, 0)) = "Y", INDEX(C:C, MATCH("Roving Elves", AJ:AJ, 0)) = "Y", INDEX(C:C, MATCH("Mourning's Ends Part I", AJ:AJ, 0)) = "Y", INDEX(C:C, MATCH("Mourning's Ends Part II", AJ:AJ, 0)) = "Y")</f>
        <v>0</v>
      </c>
      <c r="E146" s="16" t="b">
        <f aca="false">SUMPRODUCT((F146:AD146 &lt;&gt; "") * (F146:AD146 &lt;= F$2:AD$2)) = 8</f>
        <v>0</v>
      </c>
      <c r="F146" s="19" t="n">
        <v>70</v>
      </c>
      <c r="G146" s="19"/>
      <c r="H146" s="19" t="n">
        <v>70</v>
      </c>
      <c r="I146" s="19"/>
      <c r="J146" s="19"/>
      <c r="K146" s="19"/>
      <c r="L146" s="19" t="n">
        <v>70</v>
      </c>
      <c r="M146" s="19"/>
      <c r="N146" s="19"/>
      <c r="O146" s="19"/>
      <c r="P146" s="19" t="n">
        <v>70</v>
      </c>
      <c r="Q146" s="19" t="n">
        <v>70</v>
      </c>
      <c r="R146" s="19"/>
      <c r="S146" s="19" t="n">
        <v>70</v>
      </c>
      <c r="T146" s="19"/>
      <c r="U146" s="19"/>
      <c r="V146" s="19"/>
      <c r="W146" s="19"/>
      <c r="X146" s="19"/>
      <c r="Y146" s="19" t="n">
        <v>70</v>
      </c>
      <c r="Z146" s="19"/>
      <c r="AA146" s="19"/>
      <c r="AB146" s="19" t="n">
        <v>70</v>
      </c>
      <c r="AC146" s="19"/>
      <c r="AD146" s="19"/>
      <c r="AE146" s="7" t="n">
        <f aca="false">SUMPRODUCT((F146:AA146 - $F$2:$AA$2) * ((F146:AA146 - $F$2:$AA$2) &gt; 0))</f>
        <v>141</v>
      </c>
      <c r="AF146" s="7"/>
      <c r="AG146" s="7"/>
      <c r="AH146" s="7"/>
      <c r="AI146" s="20"/>
      <c r="AJ146" s="11" t="s">
        <v>167</v>
      </c>
      <c r="AK146" s="21" t="str">
        <f aca="false">IFERROR(ADDRESS(MATCH(AJ146, $A$5:$A$180, 0) + 4, COLUMN(A142)), "Not Found")</f>
        <v>$A$146</v>
      </c>
    </row>
    <row r="147" customFormat="false" ht="15.75" hidden="false" customHeight="true" outlineLevel="0" collapsed="false">
      <c r="A147" s="9" t="s">
        <v>253</v>
      </c>
      <c r="B147" s="16" t="b">
        <f aca="false">AND(D147=TRUE(),E147=TRUE())</f>
        <v>0</v>
      </c>
      <c r="C147" s="26" t="s">
        <v>230</v>
      </c>
      <c r="D147" s="27" t="b">
        <f aca="false">AND(INDEX(C:C, MATCH("Fremennik Isles, The", AJ:AJ, 0)) = "Y",INDEX(C:C, MATCH("Lunar Diplomacy", AJ:AJ, 0)) = "Y",INDEX(C:C, MATCH("Mountain Daughter", AJ:AJ, 0)) = "Y")</f>
        <v>0</v>
      </c>
      <c r="E147" s="16" t="b">
        <f aca="false">SUMPRODUCT((F147:AD147 &lt;&gt; "") * (F147:AD147 &lt;= F$2:AD$2)) = 5</f>
        <v>0</v>
      </c>
      <c r="F147" s="19" t="n">
        <v>65</v>
      </c>
      <c r="G147" s="19"/>
      <c r="H147" s="19"/>
      <c r="I147" s="19"/>
      <c r="J147" s="19"/>
      <c r="K147" s="19"/>
      <c r="L147" s="19"/>
      <c r="M147" s="19"/>
      <c r="N147" s="19" t="n">
        <v>60</v>
      </c>
      <c r="O147" s="19"/>
      <c r="P147" s="19"/>
      <c r="Q147" s="19"/>
      <c r="R147" s="19"/>
      <c r="S147" s="19"/>
      <c r="T147" s="19"/>
      <c r="U147" s="19"/>
      <c r="V147" s="19" t="n">
        <v>55</v>
      </c>
      <c r="W147" s="19"/>
      <c r="X147" s="19" t="n">
        <v>60</v>
      </c>
      <c r="Y147" s="19" t="n">
        <v>60</v>
      </c>
      <c r="Z147" s="19"/>
      <c r="AA147" s="19"/>
      <c r="AB147" s="19"/>
      <c r="AC147" s="19"/>
      <c r="AD147" s="19"/>
      <c r="AE147" s="7" t="n">
        <f aca="false">SUMPRODUCT((F147:AA147 - $F$2:$AA$2) * ((F147:AA147 - $F$2:$AA$2) &gt; 0))</f>
        <v>72</v>
      </c>
      <c r="AF147" s="7"/>
      <c r="AG147" s="7"/>
      <c r="AH147" s="7"/>
      <c r="AI147" s="20"/>
      <c r="AJ147" s="9" t="s">
        <v>253</v>
      </c>
      <c r="AK147" s="21" t="str">
        <f aca="false">IFERROR(ADDRESS(MATCH(AJ147, $A$5:$A$180, 0) + 4, COLUMN(A143)), "Not Found")</f>
        <v>$A$147</v>
      </c>
    </row>
    <row r="148" customFormat="false" ht="15.75" hidden="false" customHeight="true" outlineLevel="0" collapsed="false">
      <c r="A148" s="11" t="s">
        <v>169</v>
      </c>
      <c r="B148" s="16" t="b">
        <f aca="false">AND(D148=TRUE(),E148=TRUE())</f>
        <v>0</v>
      </c>
      <c r="C148" s="26" t="s">
        <v>230</v>
      </c>
      <c r="D148" s="27" t="b">
        <f aca="false">AND(INDEX(C:C, MATCH("Taste of Hope, A", AJ:AJ, 0)) = "Y")</f>
        <v>0</v>
      </c>
      <c r="E148" s="16" t="b">
        <f aca="false">SUMPRODUCT((F148:AD148 &lt;&gt; "") * (F148:AD148 &lt;= F$2:AD$2)) = 7</f>
        <v>0</v>
      </c>
      <c r="F148" s="19" t="n">
        <v>52</v>
      </c>
      <c r="G148" s="19" t="n">
        <v>50</v>
      </c>
      <c r="H148" s="19"/>
      <c r="I148" s="19"/>
      <c r="J148" s="19" t="n">
        <v>56</v>
      </c>
      <c r="K148" s="19"/>
      <c r="L148" s="19"/>
      <c r="M148" s="19"/>
      <c r="N148" s="19"/>
      <c r="O148" s="19" t="n">
        <v>60</v>
      </c>
      <c r="P148" s="19"/>
      <c r="Q148" s="19"/>
      <c r="R148" s="19" t="n">
        <v>49</v>
      </c>
      <c r="S148" s="19"/>
      <c r="T148" s="19"/>
      <c r="U148" s="19"/>
      <c r="V148" s="19"/>
      <c r="W148" s="19"/>
      <c r="X148" s="19" t="n">
        <v>50</v>
      </c>
      <c r="Y148" s="19"/>
      <c r="Z148" s="19"/>
      <c r="AA148" s="19"/>
      <c r="AB148" s="19" t="n">
        <v>62</v>
      </c>
      <c r="AC148" s="19"/>
      <c r="AD148" s="19"/>
      <c r="AE148" s="7" t="n">
        <f aca="false">SUMPRODUCT((F148:AA148 - $F$2:$AA$2) * ((F148:AA148 - $F$2:$AA$2) &gt; 0))</f>
        <v>24</v>
      </c>
      <c r="AF148" s="7"/>
      <c r="AG148" s="7"/>
      <c r="AH148" s="7"/>
      <c r="AI148" s="20"/>
      <c r="AJ148" s="11" t="s">
        <v>169</v>
      </c>
      <c r="AK148" s="21" t="str">
        <f aca="false">IFERROR(ADDRESS(MATCH(AJ148, $A$5:$A$180, 0) + 4, COLUMN(A144)), "Not Found")</f>
        <v>$A$148</v>
      </c>
    </row>
    <row r="149" customFormat="false" ht="15.75" hidden="false" customHeight="true" outlineLevel="0" collapsed="false">
      <c r="A149" s="9" t="s">
        <v>254</v>
      </c>
      <c r="B149" s="16" t="b">
        <f aca="false">AND(D149=TRUE(),E149=TRUE())</f>
        <v>1</v>
      </c>
      <c r="C149" s="26" t="s">
        <v>229</v>
      </c>
      <c r="D149" s="27" t="b">
        <f aca="false">TRUE()</f>
        <v>1</v>
      </c>
      <c r="E149" s="16" t="b">
        <f aca="false">SUMPRODUCT((F149:AD149 &lt;&gt; "") * (F149:AD149 &lt;= F$2:AD$2)) = 0</f>
        <v>1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7" t="n">
        <f aca="false">SUMPRODUCT((F149:AA149 - $F$2:$AA$2) * ((F149:AA149 - $F$2:$AA$2) &gt; 0))</f>
        <v>0</v>
      </c>
      <c r="AF149" s="7"/>
      <c r="AG149" s="7"/>
      <c r="AH149" s="7"/>
      <c r="AI149" s="20"/>
      <c r="AJ149" s="9" t="s">
        <v>254</v>
      </c>
      <c r="AK149" s="21" t="str">
        <f aca="false">IFERROR(ADDRESS(MATCH(AJ149, $A$5:$A$180, 0) + 4, COLUMN(A145)), "Not Found")</f>
        <v>$A$149</v>
      </c>
    </row>
    <row r="150" customFormat="false" ht="15.75" hidden="false" customHeight="true" outlineLevel="0" collapsed="false">
      <c r="A150" s="11" t="s">
        <v>171</v>
      </c>
      <c r="B150" s="16" t="b">
        <f aca="false">AND(D150=TRUE(),E150=TRUE())</f>
        <v>1</v>
      </c>
      <c r="C150" s="26" t="s">
        <v>229</v>
      </c>
      <c r="D150" s="27" t="b">
        <f aca="false">TRUE()</f>
        <v>1</v>
      </c>
      <c r="E150" s="16" t="b">
        <f aca="false">SUMPRODUCT((F150:AD150 &lt;&gt; "") * (F150:AD150 &lt;= F$2:AD$2)) = 2</f>
        <v>1</v>
      </c>
      <c r="F150" s="19"/>
      <c r="G150" s="19"/>
      <c r="H150" s="19" t="n">
        <v>26</v>
      </c>
      <c r="I150" s="19"/>
      <c r="J150" s="19" t="n">
        <v>30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7" t="n">
        <f aca="false">SUMPRODUCT((F150:AA150 - $F$2:$AA$2) * ((F150:AA150 - $F$2:$AA$2) &gt; 0))</f>
        <v>0</v>
      </c>
      <c r="AF150" s="7"/>
      <c r="AG150" s="7"/>
      <c r="AH150" s="7"/>
      <c r="AI150" s="20"/>
      <c r="AJ150" s="11" t="s">
        <v>171</v>
      </c>
      <c r="AK150" s="21" t="str">
        <f aca="false">IFERROR(ADDRESS(MATCH(AJ150, $A$5:$A$180, 0) + 4, COLUMN(A146)), "Not Found")</f>
        <v>$A$150</v>
      </c>
    </row>
    <row r="151" customFormat="false" ht="15.75" hidden="false" customHeight="true" outlineLevel="0" collapsed="false">
      <c r="A151" s="11" t="s">
        <v>172</v>
      </c>
      <c r="B151" s="16" t="b">
        <f aca="false">AND(D151=TRUE(),E151=TRUE())</f>
        <v>1</v>
      </c>
      <c r="C151" s="26" t="s">
        <v>229</v>
      </c>
      <c r="D151" s="27" t="b">
        <f aca="false">TRUE()</f>
        <v>1</v>
      </c>
      <c r="E151" s="16" t="b">
        <f aca="false">SUMPRODUCT((F151:AD151 &lt;&gt; "") * (F151:AD151 &lt;= F$2:AD$2)) = 1</f>
        <v>1</v>
      </c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 t="n">
        <v>16</v>
      </c>
      <c r="AD151" s="19"/>
      <c r="AE151" s="7" t="n">
        <f aca="false">SUMPRODUCT((F151:AA151 - $F$2:$AA$2) * ((F151:AA151 - $F$2:$AA$2) &gt; 0))</f>
        <v>0</v>
      </c>
      <c r="AF151" s="7"/>
      <c r="AG151" s="7"/>
      <c r="AH151" s="7"/>
      <c r="AI151" s="20"/>
      <c r="AJ151" s="11" t="s">
        <v>172</v>
      </c>
      <c r="AK151" s="21" t="str">
        <f aca="false">IFERROR(ADDRESS(MATCH(AJ151, $A$5:$A$180, 0) + 4, COLUMN(A147)), "Not Found")</f>
        <v>$A$151</v>
      </c>
    </row>
    <row r="152" customFormat="false" ht="15.75" hidden="false" customHeight="true" outlineLevel="0" collapsed="false">
      <c r="A152" s="9" t="s">
        <v>255</v>
      </c>
      <c r="B152" s="16" t="b">
        <f aca="false">AND(D152=TRUE(),E152=TRUE())</f>
        <v>0</v>
      </c>
      <c r="C152" s="26" t="s">
        <v>230</v>
      </c>
      <c r="D152" s="27" t="b">
        <f aca="false">AND(INDEX(C:C, MATCH("Taste of Hope, A", AJ:AJ, 0)) = "Y")</f>
        <v>0</v>
      </c>
      <c r="E152" s="16" t="b">
        <f aca="false">SUMPRODUCT((F152:AD152 &lt;&gt; "") * (F152:AD152 &lt;= F$2:AD$2)) = 0</f>
        <v>1</v>
      </c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7" t="n">
        <f aca="false">SUMPRODUCT((F152:AA152 - $F$2:$AA$2) * ((F152:AA152 - $F$2:$AA$2) &gt; 0))</f>
        <v>0</v>
      </c>
      <c r="AF152" s="7"/>
      <c r="AG152" s="7"/>
      <c r="AH152" s="7"/>
      <c r="AI152" s="20"/>
      <c r="AJ152" s="9" t="s">
        <v>255</v>
      </c>
      <c r="AK152" s="21" t="str">
        <f aca="false">IFERROR(ADDRESS(MATCH(AJ152, $A$5:$A$180, 0) + 4, COLUMN(A148)), "Not Found")</f>
        <v>$A$152</v>
      </c>
    </row>
    <row r="153" customFormat="false" ht="15.75" hidden="false" customHeight="true" outlineLevel="0" collapsed="false">
      <c r="A153" s="9" t="s">
        <v>256</v>
      </c>
      <c r="B153" s="16" t="b">
        <f aca="false">AND(D153=TRUE(),E153=TRUE())</f>
        <v>0</v>
      </c>
      <c r="C153" s="26" t="s">
        <v>230</v>
      </c>
      <c r="D153" s="27" t="b">
        <f aca="false">AND(INDEX(C:C, MATCH("Client of Kourend", AJ:AJ, 0)) = "Y", INDEX(C:C, MATCH("Queen of Thieves, The", AJ:AJ, 0)) = "Y", INDEX(C:C, MATCH("Depths of Despair, The", AJ:AJ, 0)) = "Y", INDEX(C:C, MATCH("Tale of the Righteous", AJ:AJ, 0)) = "Y", INDEX(C:C, MATCH("Ascent of Arceuus, The", AJ:AJ, 0)) = "Y", INDEX(C:C, MATCH("forsaken Tower, The", AJ:AJ, 0)) = "Y")</f>
        <v>0</v>
      </c>
      <c r="E153" s="16" t="b">
        <f aca="false">SUMPRODUCT((F153:AD153 &lt;&gt; "") * (F153:AD153 &lt;= F$2:AD$2)) = 7</f>
        <v>0</v>
      </c>
      <c r="F153" s="19" t="n">
        <v>54</v>
      </c>
      <c r="G153" s="19"/>
      <c r="H153" s="19"/>
      <c r="I153" s="19"/>
      <c r="J153" s="19" t="n">
        <v>38</v>
      </c>
      <c r="K153" s="19"/>
      <c r="L153" s="19"/>
      <c r="M153" s="19"/>
      <c r="N153" s="19"/>
      <c r="O153" s="19"/>
      <c r="P153" s="19" t="n">
        <v>50</v>
      </c>
      <c r="Q153" s="19"/>
      <c r="R153" s="19" t="n">
        <v>35</v>
      </c>
      <c r="S153" s="19" t="n">
        <v>42</v>
      </c>
      <c r="T153" s="19"/>
      <c r="U153" s="19"/>
      <c r="V153" s="19"/>
      <c r="W153" s="19"/>
      <c r="X153" s="19"/>
      <c r="Y153" s="19"/>
      <c r="Z153" s="19"/>
      <c r="AA153" s="19" t="n">
        <v>52</v>
      </c>
      <c r="AB153" s="19" t="n">
        <v>52</v>
      </c>
      <c r="AC153" s="19"/>
      <c r="AD153" s="19"/>
      <c r="AE153" s="7" t="n">
        <f aca="false">SUMPRODUCT((F153:AA153 - $F$2:$AA$2) * ((F153:AA153 - $F$2:$AA$2) &gt; 0))</f>
        <v>9</v>
      </c>
      <c r="AF153" s="7"/>
      <c r="AG153" s="7"/>
      <c r="AH153" s="7"/>
      <c r="AI153" s="20"/>
      <c r="AJ153" s="9" t="s">
        <v>256</v>
      </c>
      <c r="AK153" s="21" t="str">
        <f aca="false">IFERROR(ADDRESS(MATCH(AJ153, $A$5:$A$180, 0) + 4, COLUMN(A149)), "Not Found")</f>
        <v>$A$153</v>
      </c>
    </row>
    <row r="154" customFormat="false" ht="15.75" hidden="false" customHeight="true" outlineLevel="0" collapsed="false">
      <c r="A154" s="11" t="s">
        <v>175</v>
      </c>
      <c r="B154" s="16" t="b">
        <f aca="false">AND(D154=TRUE(),E154=TRUE())</f>
        <v>1</v>
      </c>
      <c r="C154" s="26" t="s">
        <v>230</v>
      </c>
      <c r="D154" s="27" t="b">
        <f aca="false">AND(INDEX(C:C, MATCH("Goblin Diplomacy", AJ:AJ, 0)) = "Y", INDEX(C:C, MATCH("Rag and Bone Man", AJ:AJ, 0)) = "Y")</f>
        <v>1</v>
      </c>
      <c r="E154" s="16" t="b">
        <f aca="false">SUMPRODUCT((F154:AD154 &lt;&gt; "") * (F154:AD154 &lt;= F$2:AD$2)) = 4</f>
        <v>1</v>
      </c>
      <c r="F154" s="19" t="n">
        <v>38</v>
      </c>
      <c r="G154" s="19"/>
      <c r="H154" s="19"/>
      <c r="I154" s="19"/>
      <c r="J154" s="19"/>
      <c r="K154" s="19"/>
      <c r="L154" s="19"/>
      <c r="M154" s="19"/>
      <c r="N154" s="19" t="n">
        <v>40</v>
      </c>
      <c r="O154" s="19"/>
      <c r="P154" s="19" t="n">
        <v>48</v>
      </c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 t="n">
        <v>45</v>
      </c>
      <c r="AB154" s="19"/>
      <c r="AC154" s="19"/>
      <c r="AD154" s="19"/>
      <c r="AE154" s="7" t="n">
        <f aca="false">SUMPRODUCT((F154:AA154 - $F$2:$AA$2) * ((F154:AA154 - $F$2:$AA$2) &gt; 0))</f>
        <v>0</v>
      </c>
      <c r="AF154" s="7"/>
      <c r="AG154" s="7"/>
      <c r="AH154" s="7"/>
      <c r="AI154" s="20"/>
      <c r="AJ154" s="11" t="s">
        <v>175</v>
      </c>
      <c r="AK154" s="21" t="str">
        <f aca="false">IFERROR(ADDRESS(MATCH(AJ154, $A$5:$A$180, 0) + 4, COLUMN(A150)), "Not Found")</f>
        <v>$A$154</v>
      </c>
    </row>
    <row r="155" customFormat="false" ht="15.75" hidden="false" customHeight="true" outlineLevel="0" collapsed="false">
      <c r="A155" s="11" t="s">
        <v>176</v>
      </c>
      <c r="B155" s="16" t="b">
        <f aca="false">AND(D155=TRUE(),E155=TRUE())</f>
        <v>0</v>
      </c>
      <c r="C155" s="26" t="s">
        <v>230</v>
      </c>
      <c r="D155" s="27" t="b">
        <f aca="false">AND(INDEX(C:C, MATCH("Client of Kourend", AJ:AJ, 0)) = "Y")</f>
        <v>1</v>
      </c>
      <c r="E155" s="16" t="b">
        <f aca="false">SUMPRODUCT((F155:AD155 &lt;&gt; "") * (F155:AD155 &lt;= F$2:AD$2)) = 0</f>
        <v>0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 t="n">
        <v>10</v>
      </c>
      <c r="W155" s="19"/>
      <c r="X155" s="19"/>
      <c r="Y155" s="19"/>
      <c r="Z155" s="19"/>
      <c r="AA155" s="19"/>
      <c r="AB155" s="19"/>
      <c r="AC155" s="19"/>
      <c r="AD155" s="19"/>
      <c r="AE155" s="7" t="n">
        <f aca="false">SUMPRODUCT((F155:AA155 - $F$2:$AA$2) * ((F155:AA155 - $F$2:$AA$2) &gt; 0))</f>
        <v>0</v>
      </c>
      <c r="AF155" s="7"/>
      <c r="AG155" s="7"/>
      <c r="AH155" s="7"/>
      <c r="AI155" s="20"/>
      <c r="AJ155" s="11" t="s">
        <v>176</v>
      </c>
      <c r="AK155" s="21" t="str">
        <f aca="false">IFERROR(ADDRESS(MATCH(AJ155, $A$5:$A$180, 0) + 4, COLUMN(A151)), "Not Found")</f>
        <v>$A$155</v>
      </c>
    </row>
    <row r="156" customFormat="false" ht="15.75" hidden="false" customHeight="true" outlineLevel="0" collapsed="false">
      <c r="A156" s="11" t="s">
        <v>177</v>
      </c>
      <c r="B156" s="16" t="b">
        <f aca="false">AND(D156=TRUE(),E156=TRUE())</f>
        <v>0</v>
      </c>
      <c r="C156" s="26" t="s">
        <v>230</v>
      </c>
      <c r="D156" s="27" t="b">
        <f aca="false">AND(INDEX(C:C, MATCH("Contact!", AJ:AJ, 0)) = "Y")</f>
        <v>0</v>
      </c>
      <c r="E156" s="16" t="b">
        <f aca="false">SUMPRODUCT((F156:AD156 &lt;&gt; "") * (F156:AD156 &lt;= F$2:AD$2)) = 3</f>
        <v>0</v>
      </c>
      <c r="F156" s="19" t="n">
        <v>62</v>
      </c>
      <c r="G156" s="19"/>
      <c r="H156" s="19"/>
      <c r="I156" s="19"/>
      <c r="J156" s="19" t="n">
        <v>55</v>
      </c>
      <c r="K156" s="19"/>
      <c r="L156" s="19"/>
      <c r="M156" s="19" t="n">
        <v>55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7" t="n">
        <f aca="false">SUMPRODUCT((F156:AA156 - $F$2:$AA$2) * ((F156:AA156 - $F$2:$AA$2) &gt; 0))</f>
        <v>22</v>
      </c>
      <c r="AF156" s="7"/>
      <c r="AG156" s="7"/>
      <c r="AH156" s="7"/>
      <c r="AI156" s="20"/>
      <c r="AJ156" s="11" t="s">
        <v>177</v>
      </c>
      <c r="AK156" s="21" t="str">
        <f aca="false">IFERROR(ADDRESS(MATCH(AJ156, $A$5:$A$180, 0) + 4, COLUMN(A152)), "Not Found")</f>
        <v>$A$156</v>
      </c>
    </row>
    <row r="157" customFormat="false" ht="15.75" hidden="false" customHeight="true" outlineLevel="0" collapsed="false">
      <c r="A157" s="11" t="s">
        <v>178</v>
      </c>
      <c r="B157" s="16" t="b">
        <f aca="false">AND(D157=TRUE(),E157=TRUE())</f>
        <v>1</v>
      </c>
      <c r="C157" s="26" t="s">
        <v>229</v>
      </c>
      <c r="D157" s="27" t="b">
        <f aca="false">TRUE()</f>
        <v>1</v>
      </c>
      <c r="E157" s="16" t="b">
        <f aca="false">SUMPRODUCT((F157:AD157 &lt;&gt; "") * (F157:AD157 &lt;= F$2:AD$2)) = 1</f>
        <v>1</v>
      </c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 t="n">
        <v>15</v>
      </c>
      <c r="Z157" s="19"/>
      <c r="AA157" s="19"/>
      <c r="AB157" s="19"/>
      <c r="AC157" s="19"/>
      <c r="AD157" s="19"/>
      <c r="AE157" s="7" t="n">
        <f aca="false">SUMPRODUCT((F157:AA157 - $F$2:$AA$2) * ((F157:AA157 - $F$2:$AA$2) &gt; 0))</f>
        <v>0</v>
      </c>
      <c r="AF157" s="7"/>
      <c r="AG157" s="7"/>
      <c r="AH157" s="7"/>
      <c r="AI157" s="20"/>
      <c r="AJ157" s="11" t="s">
        <v>178</v>
      </c>
      <c r="AK157" s="21" t="str">
        <f aca="false">IFERROR(ADDRESS(MATCH(AJ157, $A$5:$A$180, 0) + 4, COLUMN(A153)), "Not Found")</f>
        <v>$A$157</v>
      </c>
    </row>
    <row r="158" customFormat="false" ht="15.75" hidden="false" customHeight="true" outlineLevel="0" collapsed="false">
      <c r="A158" s="9" t="s">
        <v>257</v>
      </c>
      <c r="B158" s="16" t="b">
        <f aca="false">AND(D158=TRUE(),E158=TRUE())</f>
        <v>1</v>
      </c>
      <c r="C158" s="26" t="s">
        <v>229</v>
      </c>
      <c r="D158" s="27" t="b">
        <f aca="false">TRUE()</f>
        <v>1</v>
      </c>
      <c r="E158" s="16" t="b">
        <f aca="false">SUMPRODUCT((F158:AD158 &lt;&gt; "") * (F158:AD158 &lt;= F$2:AD$2)) = 1</f>
        <v>1</v>
      </c>
      <c r="F158" s="19"/>
      <c r="G158" s="19"/>
      <c r="H158" s="19"/>
      <c r="I158" s="19"/>
      <c r="J158" s="19"/>
      <c r="K158" s="19"/>
      <c r="L158" s="19"/>
      <c r="M158" s="19"/>
      <c r="N158" s="19" t="n">
        <v>20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7" t="n">
        <f aca="false">SUMPRODUCT((F158:AA158 - $F$2:$AA$2) * ((F158:AA158 - $F$2:$AA$2) &gt; 0))</f>
        <v>0</v>
      </c>
      <c r="AF158" s="7"/>
      <c r="AG158" s="7"/>
      <c r="AH158" s="7"/>
      <c r="AI158" s="20"/>
      <c r="AJ158" s="9" t="s">
        <v>257</v>
      </c>
      <c r="AK158" s="21" t="str">
        <f aca="false">IFERROR(ADDRESS(MATCH(AJ158, $A$5:$A$180, 0) + 4, COLUMN(A154)), "Not Found")</f>
        <v>$A$158</v>
      </c>
    </row>
    <row r="159" customFormat="false" ht="15.75" hidden="false" customHeight="true" outlineLevel="0" collapsed="false">
      <c r="A159" s="11" t="s">
        <v>180</v>
      </c>
      <c r="B159" s="16" t="b">
        <f aca="false">AND(D159=TRUE(),E159=TRUE())</f>
        <v>0</v>
      </c>
      <c r="C159" s="26" t="s">
        <v>230</v>
      </c>
      <c r="D159" s="27" t="b">
        <f aca="false">AND(INDEX(C:C, MATCH("Making Friends with My Arm", AJ:AJ, 0)) = "Y",INDEX(C:C, MATCH("Devious Minds", AJ:AJ, 0)) = "Y",INDEX(C:C, MATCH("Hazeel Cult", AJ:AJ, 0)) = "Y")</f>
        <v>0</v>
      </c>
      <c r="E159" s="16" t="b">
        <f aca="false">SUMPRODUCT((F159:AD159 &lt;&gt; "") * (F159:AD159 &lt;= F$2:AD$2)) = 3</f>
        <v>0</v>
      </c>
      <c r="F159" s="19" t="n">
        <v>69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 t="n">
        <v>56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 t="n">
        <v>64</v>
      </c>
      <c r="AB159" s="19"/>
      <c r="AC159" s="19"/>
      <c r="AD159" s="19"/>
      <c r="AE159" s="7" t="n">
        <f aca="false">SUMPRODUCT((F159:AA159 - $F$2:$AA$2) * ((F159:AA159 - $F$2:$AA$2) &gt; 0))</f>
        <v>48</v>
      </c>
      <c r="AF159" s="7"/>
      <c r="AG159" s="7"/>
      <c r="AH159" s="7"/>
      <c r="AI159" s="20"/>
      <c r="AJ159" s="11" t="s">
        <v>180</v>
      </c>
      <c r="AK159" s="21" t="str">
        <f aca="false">IFERROR(ADDRESS(MATCH(AJ159, $A$5:$A$180, 0) + 4, COLUMN(A155)), "Not Found")</f>
        <v>$A$159</v>
      </c>
    </row>
    <row r="160" customFormat="false" ht="15.75" hidden="false" customHeight="true" outlineLevel="0" collapsed="false">
      <c r="A160" s="11" t="s">
        <v>181</v>
      </c>
      <c r="B160" s="16" t="b">
        <f aca="false">AND(D160=TRUE(),E160=TRUE())</f>
        <v>0</v>
      </c>
      <c r="C160" s="26" t="s">
        <v>230</v>
      </c>
      <c r="D160" s="27" t="b">
        <f aca="false">AND(INDEX(C:C, MATCH("Desert Treasure", AJ:AJ, 0)) = "Y",INDEX(C:C, MATCH("Secrets of the North", AJ:AJ, 0)) = "Y",INDEX(C:C, MATCH("Enakhra's Lament", AJ:AJ, 0)) = "Y",INDEX(C:C, MATCH("Temple of the Eye", AJ:AJ, 0)) = "Y",INDEX(C:C, MATCH("Garden of Death, The", AJ:AJ, 0)) = "Y",INDEX(C:C, MATCH("Below Ice Mountain", AJ:AJ, 0)) = "Y")</f>
        <v>0</v>
      </c>
      <c r="E160" s="16" t="b">
        <f aca="false">SUMPRODUCT((F160:AD160 &lt;&gt; "") * (F160:AD160 &lt;= F$2:AD$2)) = 6</f>
        <v>0</v>
      </c>
      <c r="F160" s="19"/>
      <c r="G160" s="19"/>
      <c r="H160" s="19" t="n">
        <v>60</v>
      </c>
      <c r="I160" s="19"/>
      <c r="J160" s="19"/>
      <c r="K160" s="19"/>
      <c r="L160" s="19"/>
      <c r="M160" s="19" t="n">
        <v>75</v>
      </c>
      <c r="N160" s="19"/>
      <c r="O160" s="19"/>
      <c r="P160" s="19" t="n">
        <v>62</v>
      </c>
      <c r="Q160" s="19"/>
      <c r="R160" s="19" t="n">
        <v>75</v>
      </c>
      <c r="S160" s="19"/>
      <c r="T160" s="19"/>
      <c r="U160" s="19"/>
      <c r="V160" s="19" t="n">
        <v>60</v>
      </c>
      <c r="W160" s="19"/>
      <c r="X160" s="19"/>
      <c r="Y160" s="19"/>
      <c r="Z160" s="19"/>
      <c r="AA160" s="19" t="n">
        <v>70</v>
      </c>
      <c r="AB160" s="19"/>
      <c r="AC160" s="19"/>
      <c r="AD160" s="19"/>
      <c r="AE160" s="7" t="n">
        <f aca="false">SUMPRODUCT((F160:AA160 - $F$2:$AA$2) * ((F160:AA160 - $F$2:$AA$2) &gt; 0))</f>
        <v>86</v>
      </c>
      <c r="AF160" s="7"/>
      <c r="AG160" s="7"/>
      <c r="AH160" s="7"/>
      <c r="AI160" s="20"/>
      <c r="AJ160" s="11" t="s">
        <v>181</v>
      </c>
      <c r="AK160" s="21" t="str">
        <f aca="false">IFERROR(ADDRESS(MATCH(AJ160, $A$5:$A$180, 0) + 4, COLUMN(A156)), "Not Found")</f>
        <v>$A$160</v>
      </c>
    </row>
    <row r="161" customFormat="false" ht="15.75" hidden="false" customHeight="true" outlineLevel="0" collapsed="false">
      <c r="A161" s="9" t="s">
        <v>258</v>
      </c>
      <c r="B161" s="16" t="b">
        <f aca="false">AND(D161=TRUE(),E161=TRUE())</f>
        <v>0</v>
      </c>
      <c r="C161" s="26" t="s">
        <v>230</v>
      </c>
      <c r="D161" s="27" t="b">
        <f aca="false">AND(INDEX(C:C, MATCH("Eyes of Glouphrie, The" , AJ:AJ, 0)) = "Y",INDEX(C:C, MATCH("Waterfall Quest", AJ:AJ, 0)) = "Y",INDEX(C:C, MATCH("Tree Gnome Village", AJ:AJ, 0)) = "Y")</f>
        <v>0</v>
      </c>
      <c r="E161" s="16" t="b">
        <f aca="false">SUMPRODUCT((F161:AD161 &lt;&gt; "") * (F161:AD161 &lt;= F$2:AD$2)) = 5</f>
        <v>0</v>
      </c>
      <c r="F161" s="19" t="n">
        <v>45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 t="n">
        <v>47</v>
      </c>
      <c r="V161" s="19"/>
      <c r="W161" s="19"/>
      <c r="X161" s="19" t="n">
        <v>56</v>
      </c>
      <c r="Y161" s="19"/>
      <c r="Z161" s="19" t="n">
        <v>60</v>
      </c>
      <c r="AA161" s="19" t="n">
        <v>56</v>
      </c>
      <c r="AB161" s="19"/>
      <c r="AC161" s="19"/>
      <c r="AD161" s="19"/>
      <c r="AE161" s="7" t="n">
        <f aca="false">SUMPRODUCT((F161:AA161 - $F$2:$AA$2) * ((F161:AA161 - $F$2:$AA$2) &gt; 0))</f>
        <v>11</v>
      </c>
      <c r="AF161" s="7"/>
      <c r="AG161" s="7"/>
      <c r="AH161" s="7"/>
      <c r="AI161" s="20"/>
      <c r="AJ161" s="9" t="s">
        <v>258</v>
      </c>
      <c r="AK161" s="21" t="str">
        <f aca="false">IFERROR(ADDRESS(MATCH(AJ161, $A$5:$A$180, 0) + 4, COLUMN(A157)), "Not Found")</f>
        <v>$A$161</v>
      </c>
    </row>
    <row r="162" customFormat="false" ht="15.75" hidden="false" customHeight="true" outlineLevel="0" collapsed="false">
      <c r="A162" s="11" t="s">
        <v>183</v>
      </c>
      <c r="B162" s="16" t="b">
        <f aca="false">AND(D162=TRUE(),E162=TRUE())</f>
        <v>1</v>
      </c>
      <c r="C162" s="26" t="s">
        <v>229</v>
      </c>
      <c r="D162" s="27" t="b">
        <f aca="false">SUM(1)=1</f>
        <v>1</v>
      </c>
      <c r="E162" s="16" t="b">
        <f aca="false">SUMPRODUCT((F162:AD162 &lt;&gt; "") * (F162:AD162 &lt;= F$2:AD$2)) = 0</f>
        <v>1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7" t="n">
        <f aca="false">SUMPRODUCT((F162:AA162 - $F$2:$AA$2) * ((F162:AA162 - $F$2:$AA$2) &gt; 0))</f>
        <v>0</v>
      </c>
      <c r="AF162" s="7"/>
      <c r="AG162" s="7"/>
      <c r="AH162" s="7"/>
      <c r="AI162" s="20"/>
      <c r="AJ162" s="11" t="s">
        <v>183</v>
      </c>
      <c r="AK162" s="21" t="str">
        <f aca="false">IFERROR(ADDRESS(MATCH(AJ162, $A$5:$A$180, 0) + 4, COLUMN(A158)), "Not Found")</f>
        <v>$A$162</v>
      </c>
    </row>
    <row r="163" customFormat="false" ht="15.75" hidden="false" customHeight="true" outlineLevel="0" collapsed="false">
      <c r="A163" s="11" t="s">
        <v>184</v>
      </c>
      <c r="B163" s="16" t="b">
        <f aca="false">AND(D163=TRUE(),E163=TRUE())</f>
        <v>0</v>
      </c>
      <c r="C163" s="26" t="s">
        <v>230</v>
      </c>
      <c r="D163" s="27" t="b">
        <f aca="false">AND(INDEX(C:C, MATCH("Shield of Arrav", AJ:AJ, 0)) = "Y",INDEX(C:C, MATCH("Temple Ikov", AJ:AJ, 0)) = "Y",INDEX(C:C, MATCH("Below Ice Mountain", AJ:AJ, 0)) = "Y",INDEX(C:C, MATCH("Family Crest", AJ:AJ, 0)) = "Y",INDEX(C:C, MATCH("Garden of Tranquillity", AJ:AJ, 0)) = "Y",INDEX(C:C, MATCH("What Lies Below", AJ:AJ, 0)) = "Y")</f>
        <v>0</v>
      </c>
      <c r="E163" s="16" t="b">
        <f aca="false">SUMPRODUCT((F163:AD163 &lt;&gt; "") * (F163:AD163 &lt;= F$2:AD$2)) = 2</f>
        <v>0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 t="n">
        <v>52</v>
      </c>
      <c r="R163" s="19"/>
      <c r="S163" s="19"/>
      <c r="T163" s="19"/>
      <c r="U163" s="19"/>
      <c r="V163" s="19"/>
      <c r="W163" s="19"/>
      <c r="X163" s="19"/>
      <c r="Y163" s="19" t="n">
        <v>55</v>
      </c>
      <c r="Z163" s="19"/>
      <c r="AA163" s="19"/>
      <c r="AB163" s="19"/>
      <c r="AC163" s="19"/>
      <c r="AD163" s="19"/>
      <c r="AE163" s="7" t="n">
        <f aca="false">SUMPRODUCT((F163:AA163 - $F$2:$AA$2) * ((F163:AA163 - $F$2:$AA$2) &gt; 0))</f>
        <v>12</v>
      </c>
      <c r="AF163" s="7"/>
      <c r="AG163" s="7"/>
      <c r="AH163" s="7"/>
      <c r="AI163" s="20"/>
      <c r="AJ163" s="11" t="s">
        <v>184</v>
      </c>
      <c r="AK163" s="21" t="str">
        <f aca="false">IFERROR(ADDRESS(MATCH(AJ163, $A$5:$A$180, 0) + 4, COLUMN(A159)), "Not Found")</f>
        <v>$A$163</v>
      </c>
    </row>
    <row r="164" customFormat="false" ht="15.75" hidden="false" customHeight="true" outlineLevel="0" collapsed="false">
      <c r="A164" s="11" t="s">
        <v>185</v>
      </c>
      <c r="B164" s="16" t="b">
        <f aca="false">AND(D164=TRUE(),E164=TRUE())</f>
        <v>0</v>
      </c>
      <c r="C164" s="26" t="s">
        <v>229</v>
      </c>
      <c r="D164" s="27" t="b">
        <f aca="false">AND(INDEX(C:C, MATCH("Taste of Hope, A", AJ:AJ, 0)) = "Y", INDEX(C:C, MATCH("Sins of the Father", AJ:AJ, 0)) = "Y")</f>
        <v>0</v>
      </c>
      <c r="E164" s="16" t="b">
        <f aca="false">SUMPRODUCT((F164:AD164 &lt;&gt; "") * (F164:AD164 &lt;= F$2:AD$2)) = 0</f>
        <v>1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7" t="n">
        <f aca="false">SUMPRODUCT((F164:AA164 - $F$2:$AA$2) * ((F164:AA164 - $F$2:$AA$2) &gt; 0))</f>
        <v>0</v>
      </c>
      <c r="AF164" s="7"/>
      <c r="AG164" s="7"/>
      <c r="AH164" s="7"/>
      <c r="AI164" s="20"/>
      <c r="AJ164" s="11" t="s">
        <v>185</v>
      </c>
      <c r="AK164" s="21" t="str">
        <f aca="false">IFERROR(ADDRESS(MATCH(AJ164, $A$5:$A$180, 0) + 4, COLUMN(A160)), "Not Found")</f>
        <v>$A$164</v>
      </c>
    </row>
    <row r="165" customFormat="false" ht="15.75" hidden="false" customHeight="true" outlineLevel="0" collapsed="false">
      <c r="A165" s="11" t="s">
        <v>186</v>
      </c>
      <c r="B165" s="16" t="b">
        <f aca="false">AND(D165=TRUE(),E165=TRUE())</f>
        <v>0</v>
      </c>
      <c r="C165" s="26" t="s">
        <v>230</v>
      </c>
      <c r="D165" s="27" t="b">
        <f aca="false">AND(INDEX(C:C, MATCH("Twilight’s Promise", AJ:AJ, 0)) = "Y")</f>
        <v>1</v>
      </c>
      <c r="E165" s="16" t="b">
        <f aca="false">SUMPRODUCT((F165:AD165 &lt;&gt; "") * (F165:AD165 &lt;= F$2:AD$2)) = 1</f>
        <v>0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 t="n">
        <v>46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7" t="n">
        <f aca="false">SUMPRODUCT((F165:AA165 - $F$2:$AA$2) * ((F165:AA165 - $F$2:$AA$2) &gt; 0))</f>
        <v>4</v>
      </c>
      <c r="AF165" s="7"/>
      <c r="AG165" s="7"/>
      <c r="AH165" s="7"/>
      <c r="AI165" s="20"/>
      <c r="AJ165" s="11" t="s">
        <v>186</v>
      </c>
      <c r="AK165" s="21" t="str">
        <f aca="false">IFERROR(ADDRESS(MATCH(AJ165, $A$5:$A$180, 0) + 4, COLUMN(A161)), "Not Found")</f>
        <v>$A$165</v>
      </c>
    </row>
    <row r="166" customFormat="false" ht="15.75" hidden="false" customHeight="true" outlineLevel="0" collapsed="false">
      <c r="A166" s="11" t="s">
        <v>187</v>
      </c>
      <c r="B166" s="16" t="b">
        <f aca="false">AND(D166=TRUE(),E166=TRUE())</f>
        <v>0</v>
      </c>
      <c r="C166" s="26" t="s">
        <v>230</v>
      </c>
      <c r="D166" s="27" t="b">
        <f aca="false">AND(INDEX(C:C, MATCH("At First Light", AJ:AJ, 0)) = "Y")</f>
        <v>0</v>
      </c>
      <c r="E166" s="16" t="b">
        <f aca="false">SUMPRODUCT((F166:AD166 &lt;&gt; "") * (F166:AD166 &lt;= F$2:AD$2)) = 2</f>
        <v>0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 t="n">
        <v>20</v>
      </c>
      <c r="R166" s="19"/>
      <c r="S166" s="19"/>
      <c r="T166" s="19"/>
      <c r="U166" s="19"/>
      <c r="V166" s="19"/>
      <c r="W166" s="19"/>
      <c r="X166" s="19" t="n">
        <v>48</v>
      </c>
      <c r="Y166" s="19"/>
      <c r="Z166" s="19"/>
      <c r="AA166" s="19"/>
      <c r="AB166" s="19"/>
      <c r="AC166" s="19"/>
      <c r="AD166" s="19"/>
      <c r="AE166" s="7" t="n">
        <f aca="false">SUMPRODUCT((F166:AA166 - $F$2:$AA$2) * ((F166:AA166 - $F$2:$AA$2) &gt; 0))</f>
        <v>1</v>
      </c>
      <c r="AF166" s="7"/>
      <c r="AG166" s="7"/>
      <c r="AH166" s="7"/>
      <c r="AI166" s="20"/>
      <c r="AJ166" s="11" t="s">
        <v>187</v>
      </c>
      <c r="AK166" s="21" t="str">
        <f aca="false">IFERROR(ADDRESS(MATCH(AJ166, $A$5:$A$180, 0) + 4, COLUMN(A162)), "Not Found")</f>
        <v>$A$166</v>
      </c>
    </row>
    <row r="167" customFormat="false" ht="15.75" hidden="false" customHeight="true" outlineLevel="0" collapsed="false">
      <c r="A167" s="9" t="s">
        <v>259</v>
      </c>
      <c r="B167" s="16" t="b">
        <f aca="false">AND(D167=TRUE(),E167=TRUE())</f>
        <v>1</v>
      </c>
      <c r="C167" s="26" t="s">
        <v>229</v>
      </c>
      <c r="D167" s="27" t="b">
        <f aca="false">TRUE()</f>
        <v>1</v>
      </c>
      <c r="E167" s="16" t="b">
        <f aca="false">SUMPRODUCT((F167:AD167 &lt;&gt; "") * (F167:AD167 &lt;= F$2:AD$2)) = 0</f>
        <v>1</v>
      </c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7" t="n">
        <f aca="false">SUMPRODUCT((F167:AA167 - $F$2:$AA$2) * ((F167:AA167 - $F$2:$AA$2) &gt; 0))</f>
        <v>0</v>
      </c>
      <c r="AF167" s="7"/>
      <c r="AG167" s="7"/>
      <c r="AH167" s="7"/>
      <c r="AI167" s="20"/>
      <c r="AJ167" s="9" t="s">
        <v>259</v>
      </c>
      <c r="AK167" s="21" t="str">
        <f aca="false">IFERROR(ADDRESS(MATCH(AJ167, $A$5:$A$180, 0) + 4, COLUMN(A163)), "Not Found")</f>
        <v>$A$167</v>
      </c>
    </row>
    <row r="168" customFormat="false" ht="15.75" hidden="false" customHeight="true" outlineLevel="0" collapsed="false">
      <c r="A168" s="11" t="s">
        <v>189</v>
      </c>
      <c r="B168" s="16" t="b">
        <f aca="false">AND(D168=TRUE(),E168=TRUE())</f>
        <v>0</v>
      </c>
      <c r="C168" s="26" t="s">
        <v>230</v>
      </c>
      <c r="D168" s="27" t="b">
        <f aca="false">AND(INDEX(C:C, MATCH("Defender of Varrock", AJ:AJ, 0)) = "Y",INDEX(C:C, MATCH("Path of Glouphrie, The", AJ:AJ, 0)) = "Y",INDEX(C:C, MATCH("Dream Mentor", AJ:AJ, 0)) = "Y",INDEX(C:C, MATCH("Hand in the Sand, The" , AJ:AJ, 0)) = "Y",INDEX(C:C, MATCH("Wanted!", AJ:AJ, 0)) = "Y",INDEX(C:C, MATCH("Fight Arena", AJ:AJ, 0)) = "Y",INDEX(C:C, MATCH("Temple of the Eye", AJ:AJ, 0)) = "Y",INDEX(C:C, MATCH("Tail of Two Cats, A", AJ:AJ, 0)) = "Y",INDEX(C:C, MATCH("Tears of Guthix", AJ:AJ, 0)) = "Y",INDEX(C:C, MATCH("Nature Spirit", AJ:AJ, 0)) = "Y")</f>
        <v>0</v>
      </c>
      <c r="E168" s="16" t="b">
        <f aca="false">SUMPRODUCT((F168:AD168 &lt;&gt; "") * (F168:AD168 &lt;= F$2:AD$2)) = 8</f>
        <v>0</v>
      </c>
      <c r="F168" s="19" t="n">
        <v>66</v>
      </c>
      <c r="G168" s="19"/>
      <c r="H168" s="19"/>
      <c r="I168" s="19"/>
      <c r="J168" s="19"/>
      <c r="K168" s="19" t="n">
        <v>40</v>
      </c>
      <c r="L168" s="19" t="n">
        <v>65</v>
      </c>
      <c r="M168" s="19"/>
      <c r="N168" s="19"/>
      <c r="O168" s="19"/>
      <c r="P168" s="19" t="n">
        <v>65</v>
      </c>
      <c r="Q168" s="19" t="n">
        <v>62</v>
      </c>
      <c r="R168" s="19" t="n">
        <v>67</v>
      </c>
      <c r="S168" s="19"/>
      <c r="T168" s="19"/>
      <c r="U168" s="19"/>
      <c r="V168" s="19"/>
      <c r="W168" s="19"/>
      <c r="X168" s="19"/>
      <c r="Y168" s="19"/>
      <c r="Z168" s="19"/>
      <c r="AA168" s="19" t="n">
        <v>72</v>
      </c>
      <c r="AB168" s="19"/>
      <c r="AC168" s="19" t="n">
        <v>180</v>
      </c>
      <c r="AD168" s="19"/>
      <c r="AE168" s="7" t="n">
        <f aca="false">SUMPRODUCT((F168:AA168 - $F$2:$AA$2) * ((F168:AA168 - $F$2:$AA$2) &gt; 0))</f>
        <v>83</v>
      </c>
      <c r="AF168" s="7"/>
      <c r="AG168" s="7"/>
      <c r="AH168" s="7"/>
      <c r="AI168" s="20"/>
      <c r="AJ168" s="11" t="s">
        <v>189</v>
      </c>
      <c r="AK168" s="21" t="str">
        <f aca="false">IFERROR(ADDRESS(MATCH(AJ168, $A$5:$A$180, 0) + 4, COLUMN(A164)), "Not Found")</f>
        <v>$A$168</v>
      </c>
    </row>
    <row r="169" customFormat="false" ht="15.75" hidden="false" customHeight="true" outlineLevel="0" collapsed="false">
      <c r="A169" s="9" t="s">
        <v>260</v>
      </c>
      <c r="B169" s="16" t="b">
        <f aca="false">AND(D169=TRUE(),E169=TRUE())</f>
        <v>0</v>
      </c>
      <c r="C169" s="26" t="s">
        <v>230</v>
      </c>
      <c r="D169" s="27" t="b">
        <f aca="false">AND(INDEX(C:C, MATCH("Twilight’s Promise", AJ:AJ, 0)) = "Y")</f>
        <v>1</v>
      </c>
      <c r="E169" s="16" t="b">
        <f aca="false">SUMPRODUCT((F169:AD169 &lt;&gt; "") * (F169:AD169 &lt;= F$2:AD$2)) = 4</f>
        <v>0</v>
      </c>
      <c r="F169" s="19" t="n">
        <v>46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 t="n">
        <v>55</v>
      </c>
      <c r="T169" s="19"/>
      <c r="U169" s="19"/>
      <c r="V169" s="19"/>
      <c r="W169" s="19"/>
      <c r="X169" s="19" t="n">
        <v>48</v>
      </c>
      <c r="Y169" s="19"/>
      <c r="Z169" s="19"/>
      <c r="AA169" s="19" t="n">
        <v>48</v>
      </c>
      <c r="AB169" s="19"/>
      <c r="AC169" s="19"/>
      <c r="AD169" s="19"/>
      <c r="AE169" s="7" t="n">
        <f aca="false">SUMPRODUCT((F169:AA169 - $F$2:$AA$2) * ((F169:AA169 - $F$2:$AA$2) &gt; 0))</f>
        <v>6</v>
      </c>
      <c r="AF169" s="7"/>
      <c r="AG169" s="7"/>
      <c r="AH169" s="7"/>
      <c r="AI169" s="20"/>
      <c r="AJ169" s="9" t="s">
        <v>260</v>
      </c>
      <c r="AK169" s="21" t="str">
        <f aca="false">IFERROR(ADDRESS(MATCH(AJ169, $A$5:$A$180, 0) + 4, COLUMN(A165)), "Not Found")</f>
        <v>$A$169</v>
      </c>
    </row>
    <row r="170" customFormat="false" ht="15.75" hidden="false" customHeight="true" outlineLevel="0" collapsed="false">
      <c r="A170" s="11" t="s">
        <v>191</v>
      </c>
      <c r="B170" s="16" t="b">
        <f aca="false">AND(D170=TRUE(),E170=TRUE())</f>
        <v>1</v>
      </c>
      <c r="C170" s="26" t="s">
        <v>230</v>
      </c>
      <c r="D170" s="27" t="b">
        <f aca="false">AND(INDEX(C:C, MATCH("Children of the Sun", AJ:AJ, 0)) = "Y")</f>
        <v>1</v>
      </c>
      <c r="E170" s="16" t="b">
        <f aca="false">SUMPRODUCT((F170:AD170 &lt;&gt; "") * (F170:AD170 &lt;= F$2:AD$2)) = 2</f>
        <v>1</v>
      </c>
      <c r="F170" s="19" t="n">
        <v>32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 t="n">
        <v>34</v>
      </c>
      <c r="AB170" s="19"/>
      <c r="AC170" s="19"/>
      <c r="AD170" s="19"/>
      <c r="AE170" s="7" t="n">
        <f aca="false">SUMPRODUCT((F170:AA170 - $F$2:$AA$2) * ((F170:AA170 - $F$2:$AA$2) &gt; 0))</f>
        <v>0</v>
      </c>
      <c r="AF170" s="7"/>
      <c r="AG170" s="7"/>
      <c r="AH170" s="7"/>
      <c r="AI170" s="20"/>
      <c r="AJ170" s="11" t="s">
        <v>191</v>
      </c>
      <c r="AK170" s="21" t="str">
        <f aca="false">IFERROR(ADDRESS(MATCH(AJ170, $A$5:$A$180, 0) + 4, COLUMN(A166)), "Not Found")</f>
        <v>$A$170</v>
      </c>
    </row>
    <row r="171" customFormat="false" ht="15.75" hidden="false" customHeight="true" outlineLevel="0" collapsed="false">
      <c r="A171" s="11" t="s">
        <v>192</v>
      </c>
      <c r="B171" s="16" t="b">
        <f aca="false">AND(D171=TRUE(),E171=TRUE())</f>
        <v>1</v>
      </c>
      <c r="C171" s="26" t="s">
        <v>229</v>
      </c>
      <c r="D171" s="27" t="b">
        <f aca="false">TRUE()</f>
        <v>1</v>
      </c>
      <c r="E171" s="16" t="b">
        <f aca="false">SUMPRODUCT((F171:AD171 &lt;&gt; "") * (F171:AD171 &lt;= F$2:AD$2)) = 0</f>
        <v>1</v>
      </c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7" t="n">
        <f aca="false">SUMPRODUCT((F171:AA171 - $F$2:$AA$2) * ((F171:AA171 - $F$2:$AA$2) &gt; 0))</f>
        <v>0</v>
      </c>
      <c r="AF171" s="7"/>
      <c r="AG171" s="7"/>
      <c r="AH171" s="7"/>
      <c r="AI171" s="20"/>
      <c r="AJ171" s="11" t="s">
        <v>192</v>
      </c>
      <c r="AK171" s="21" t="str">
        <f aca="false">IFERROR(ADDRESS(MATCH(AJ171, $A$5:$A$180, 0) + 4, COLUMN(A167)), "Not Found")</f>
        <v>$A$171</v>
      </c>
    </row>
    <row r="172" customFormat="false" ht="15.75" hidden="false" customHeight="true" outlineLevel="0" collapsed="false">
      <c r="A172" s="11" t="s">
        <v>193</v>
      </c>
      <c r="B172" s="16" t="b">
        <f aca="false">AND(D172=TRUE(),E172=TRUE())</f>
        <v>1</v>
      </c>
      <c r="C172" s="26" t="s">
        <v>229</v>
      </c>
      <c r="D172" s="27" t="b">
        <f aca="false">TRUE()</f>
        <v>1</v>
      </c>
      <c r="E172" s="16" t="b">
        <f aca="false">SUMPRODUCT((F172:AD172 &lt;&gt; "") * (F172:AD172 &lt;= F$2:AD$2)) = 1</f>
        <v>1</v>
      </c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 t="n">
        <v>25</v>
      </c>
      <c r="AB172" s="19"/>
      <c r="AC172" s="19"/>
      <c r="AD172" s="19"/>
      <c r="AE172" s="7" t="n">
        <f aca="false">SUMPRODUCT((F172:AA172 - $F$2:$AA$2) * ((F172:AA172 - $F$2:$AA$2) &gt; 0))</f>
        <v>0</v>
      </c>
      <c r="AF172" s="7"/>
      <c r="AG172" s="7"/>
      <c r="AH172" s="7"/>
      <c r="AI172" s="20"/>
      <c r="AJ172" s="11" t="s">
        <v>193</v>
      </c>
      <c r="AK172" s="21" t="str">
        <f aca="false">IFERROR(ADDRESS(MATCH(AJ172, $A$5:$A$180, 0) + 4, COLUMN(A168)), "Not Found")</f>
        <v>$A$172</v>
      </c>
    </row>
    <row r="173" customFormat="false" ht="15.75" hidden="false" customHeight="true" outlineLevel="0" collapsed="false">
      <c r="A173" s="11" t="s">
        <v>194</v>
      </c>
      <c r="B173" s="16" t="b">
        <f aca="false">AND(D173=TRUE(),E173=TRUE())</f>
        <v>0</v>
      </c>
      <c r="C173" s="26" t="s">
        <v>230</v>
      </c>
      <c r="D173" s="27" t="b">
        <f aca="false">AND(INDEX(C:C, MATCH("Defender of Varrock", AJ:AJ, 0)) = "Y",INDEX(C:C, MATCH("Troll Romance", AJ:AJ, 0)) = "Y")</f>
        <v>0</v>
      </c>
      <c r="E173" s="16" t="b">
        <f aca="false">SUMPRODUCT((F173:AD173 &lt;&gt; "") * (F173:AD173 &lt;= F$2:AD$2)) = 6</f>
        <v>0</v>
      </c>
      <c r="F173" s="19" t="n">
        <v>61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 t="n">
        <v>64</v>
      </c>
      <c r="T173" s="19"/>
      <c r="U173" s="19" t="n">
        <v>62</v>
      </c>
      <c r="V173" s="19"/>
      <c r="W173" s="19"/>
      <c r="X173" s="19" t="n">
        <v>37</v>
      </c>
      <c r="Y173" s="19"/>
      <c r="Z173" s="19" t="n">
        <v>58</v>
      </c>
      <c r="AA173" s="19" t="n">
        <v>62</v>
      </c>
      <c r="AB173" s="19"/>
      <c r="AC173" s="19"/>
      <c r="AD173" s="19"/>
      <c r="AE173" s="7" t="n">
        <f aca="false">SUMPRODUCT((F173:AA173 - $F$2:$AA$2) * ((F173:AA173 - $F$2:$AA$2) &gt; 0))</f>
        <v>37</v>
      </c>
      <c r="AF173" s="7"/>
      <c r="AG173" s="7"/>
      <c r="AH173" s="7"/>
      <c r="AI173" s="20"/>
      <c r="AJ173" s="11" t="s">
        <v>194</v>
      </c>
      <c r="AK173" s="21" t="str">
        <f aca="false">IFERROR(ADDRESS(MATCH(AJ173, $A$5:$A$180, 0) + 4, COLUMN(A169)), "Not Found")</f>
        <v>$A$138</v>
      </c>
    </row>
    <row r="174" customFormat="false" ht="15.75" hidden="false" customHeight="true" outlineLevel="0" collapsed="false">
      <c r="A174" s="11" t="s">
        <v>261</v>
      </c>
      <c r="B174" s="16" t="b">
        <f aca="false">AND(D174=TRUE(),E174=TRUE())</f>
        <v>0</v>
      </c>
      <c r="C174" s="26" t="s">
        <v>230</v>
      </c>
      <c r="D174" s="27" t="b">
        <f aca="false">AND(INDEX(C:C, MATCH("Heart Of Darkness, The", AJ:AJ, 0)) = "Y",INDEX(C:C, MATCH("Perilous Moons", AJ:AJ, 0)) = "Y")</f>
        <v>0</v>
      </c>
      <c r="E174" s="16" t="b">
        <f aca="false">SUMPRODUCT((F174:AD174 &lt;&gt; "") * (F174:AD174 &lt;= F$2:AD$2)) = 3</f>
        <v>0</v>
      </c>
      <c r="F174" s="19"/>
      <c r="G174" s="19"/>
      <c r="H174" s="19"/>
      <c r="I174" s="19"/>
      <c r="J174" s="19"/>
      <c r="K174" s="19"/>
      <c r="L174" s="19"/>
      <c r="M174" s="19"/>
      <c r="N174" s="19"/>
      <c r="O174" s="19" t="n">
        <v>52</v>
      </c>
      <c r="P174" s="19"/>
      <c r="Q174" s="19"/>
      <c r="R174" s="19"/>
      <c r="S174" s="19"/>
      <c r="T174" s="19"/>
      <c r="U174" s="19"/>
      <c r="V174" s="19" t="n">
        <v>52</v>
      </c>
      <c r="W174" s="19"/>
      <c r="X174" s="19"/>
      <c r="Y174" s="19"/>
      <c r="Z174" s="19"/>
      <c r="AA174" s="19" t="n">
        <v>66</v>
      </c>
      <c r="AB174" s="19"/>
      <c r="AC174" s="19"/>
      <c r="AD174" s="19"/>
      <c r="AE174" s="7" t="n">
        <f aca="false">SUMPRODUCT((F174:AA174 - $F$2:$AA$2) * ((F174:AA174 - $F$2:$AA$2) &gt; 0))</f>
        <v>41</v>
      </c>
      <c r="AF174" s="7"/>
      <c r="AG174" s="7"/>
      <c r="AH174" s="7"/>
      <c r="AI174" s="20"/>
      <c r="AJ174" s="11" t="s">
        <v>261</v>
      </c>
      <c r="AK174" s="21" t="str">
        <f aca="false">IFERROR(ADDRESS(MATCH(AJ174, $A$5:$A$180, 0) + 4, COLUMN(A170)), "Not Found")</f>
        <v>$A$174</v>
      </c>
    </row>
    <row r="175" customFormat="false" ht="15.75" hidden="false" customHeight="true" outlineLevel="0" collapsed="false">
      <c r="A175" s="11" t="s">
        <v>196</v>
      </c>
      <c r="B175" s="16" t="b">
        <f aca="false">AND(D175=TRUE(),E175=TRUE())</f>
        <v>0</v>
      </c>
      <c r="C175" s="26" t="s">
        <v>230</v>
      </c>
      <c r="D175" s="27" t="b">
        <f aca="false">AND(INDEX(C:C, MATCH("Children of the Sun", AJ:AJ, 0)) = "Y")</f>
        <v>1</v>
      </c>
      <c r="E175" s="16" t="n">
        <f aca="false">SUMPRODUCT((F175:AD175 &lt;&gt; "") * (F175:AD175 &lt;= F$2:AD$2)) = 4</f>
        <v>0</v>
      </c>
      <c r="F175" s="19"/>
      <c r="G175" s="19"/>
      <c r="H175" s="19" t="n">
        <v>41</v>
      </c>
      <c r="I175" s="19"/>
      <c r="J175" s="19"/>
      <c r="K175" s="19"/>
      <c r="L175" s="19"/>
      <c r="M175" s="19"/>
      <c r="N175" s="19" t="n">
        <v>45</v>
      </c>
      <c r="O175" s="19"/>
      <c r="P175" s="19"/>
      <c r="Q175" s="19" t="n">
        <v>36</v>
      </c>
      <c r="R175" s="19"/>
      <c r="S175" s="19"/>
      <c r="T175" s="19"/>
      <c r="U175" s="19"/>
      <c r="V175" s="19"/>
      <c r="W175" s="19"/>
      <c r="X175" s="19" t="n">
        <v>54</v>
      </c>
      <c r="Y175" s="19"/>
      <c r="Z175" s="19"/>
      <c r="AA175" s="19"/>
      <c r="AB175" s="19"/>
      <c r="AC175" s="19"/>
      <c r="AD175" s="19"/>
      <c r="AE175" s="7" t="n">
        <f aca="false">SUMPRODUCT((F175:AA175 - $F$2:$AA$2) * ((F175:AA175 - $F$2:$AA$2) &gt; 0))</f>
        <v>7</v>
      </c>
      <c r="AF175" s="7"/>
      <c r="AG175" s="7"/>
      <c r="AH175" s="7"/>
      <c r="AI175" s="20"/>
      <c r="AJ175" s="11" t="s">
        <v>196</v>
      </c>
      <c r="AK175" s="21" t="str">
        <f aca="false">IFERROR(ADDRESS(MATCH(AJ175, $A$5:$A$180, 0) + 4, COLUMN(A171)), "Not Found")</f>
        <v>$A$175</v>
      </c>
    </row>
    <row r="176" customFormat="false" ht="15.75" hidden="false" customHeight="true" outlineLevel="0" collapsed="false">
      <c r="A176" s="11" t="s">
        <v>197</v>
      </c>
      <c r="B176" s="16" t="b">
        <f aca="false">AND(D176=TRUE(),E176=TRUE())</f>
        <v>1</v>
      </c>
      <c r="C176" s="26" t="s">
        <v>229</v>
      </c>
      <c r="D176" s="27" t="b">
        <f aca="false">TRUE()</f>
        <v>1</v>
      </c>
      <c r="E176" s="16" t="b">
        <f aca="false">SUMPRODUCT((F176:AD176 &lt;&gt; "") * (F176:AD176 &lt;= F$2:AD$2)) = 3</f>
        <v>1</v>
      </c>
      <c r="F176" s="19"/>
      <c r="G176" s="19"/>
      <c r="H176" s="19" t="n">
        <v>38</v>
      </c>
      <c r="I176" s="19" t="n">
        <v>36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 t="n">
        <v>35</v>
      </c>
      <c r="Z176" s="19"/>
      <c r="AA176" s="19"/>
      <c r="AB176" s="19"/>
      <c r="AC176" s="19"/>
      <c r="AD176" s="19"/>
      <c r="AE176" s="7" t="n">
        <f aca="false">SUMPRODUCT((F176:AA176 - $F$2:$AA$2) * ((F176:AA176 - $F$2:$AA$2) &gt; 0))</f>
        <v>0</v>
      </c>
      <c r="AF176" s="7"/>
      <c r="AG176" s="7"/>
      <c r="AH176" s="7"/>
      <c r="AI176" s="20"/>
      <c r="AJ176" s="11" t="s">
        <v>197</v>
      </c>
      <c r="AK176" s="21" t="str">
        <f aca="false">IFERROR(ADDRESS(MATCH(AJ176, $A$5:$A$180, 0) + 4, COLUMN(A172)), "Not Found")</f>
        <v>$A$176</v>
      </c>
    </row>
    <row r="177" customFormat="false" ht="15.75" hidden="false" customHeight="true" outlineLevel="0" collapsed="false">
      <c r="A177" s="12" t="s">
        <v>198</v>
      </c>
      <c r="B177" s="27" t="b">
        <f aca="false">AND($D177, $E177)</f>
        <v>1</v>
      </c>
      <c r="C177" s="26" t="s">
        <v>229</v>
      </c>
      <c r="D177" s="27" t="b">
        <f aca="false">TRUE()</f>
        <v>1</v>
      </c>
      <c r="E177" s="16" t="b">
        <f aca="false">SUMPRODUCT((F177:AD177 &lt;&gt; "") * (F177:AD177 &lt;= F$2:AD$2)) = 0</f>
        <v>1</v>
      </c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7" t="n">
        <f aca="false">SUMPRODUCT((F177:AA177 - $F$2:$AA$2) * ((F177:AA177 - $F$2:$AA$2) &gt; 0))</f>
        <v>0</v>
      </c>
      <c r="AI177" s="20"/>
      <c r="AJ177" s="12" t="s">
        <v>198</v>
      </c>
      <c r="AK177" s="21" t="str">
        <f aca="false">IFERROR(ADDRESS(MATCH(AJ177, $A$5:$A$180, 0) + 4, COLUMN(A173)), "Not Found")</f>
        <v>$A$177</v>
      </c>
    </row>
    <row r="178" customFormat="false" ht="15.75" hidden="false" customHeight="true" outlineLevel="0" collapsed="false">
      <c r="A178" s="12" t="s">
        <v>199</v>
      </c>
      <c r="B178" s="27" t="b">
        <f aca="false">AND($D178, $E178)</f>
        <v>1</v>
      </c>
      <c r="C178" s="26" t="s">
        <v>229</v>
      </c>
      <c r="D178" s="27" t="b">
        <f aca="false">AND(INDEX(C:C, MATCH("Pandemonium", AJ:AJ, 0)) = "Y",INDEX(C:C, MATCH("Knight's Sword, The" , AJ:AJ, 0)) = "Y")</f>
        <v>1</v>
      </c>
      <c r="E178" s="16" t="b">
        <f aca="false">SUMPRODUCT((F178:AD178 &lt;&gt; "") * (F178:AD178 &lt;= F$2:AD$2)) = 2</f>
        <v>1</v>
      </c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 t="n">
        <v>12</v>
      </c>
      <c r="X178" s="19"/>
      <c r="Y178" s="19" t="n">
        <v>30</v>
      </c>
      <c r="Z178" s="19"/>
      <c r="AA178" s="19"/>
      <c r="AB178" s="19"/>
      <c r="AC178" s="19"/>
      <c r="AD178" s="19"/>
      <c r="AE178" s="7" t="n">
        <f aca="false">SUMPRODUCT((F178:AA178 - $F$2:$AA$2) * ((F178:AA178 - $F$2:$AA$2) &gt; 0))</f>
        <v>0</v>
      </c>
      <c r="AI178" s="20"/>
      <c r="AJ178" s="12" t="s">
        <v>199</v>
      </c>
      <c r="AK178" s="21" t="str">
        <f aca="false">IFERROR(ADDRESS(MATCH(AJ178, $A$5:$A$180, 0) + 4, COLUMN(A174)), "Not Found")</f>
        <v>$A$178</v>
      </c>
    </row>
    <row r="179" customFormat="false" ht="17.4" hidden="false" customHeight="false" outlineLevel="0" collapsed="false">
      <c r="A179" s="12" t="s">
        <v>200</v>
      </c>
      <c r="B179" s="27" t="b">
        <f aca="false">AND($D179, $E179)</f>
        <v>1</v>
      </c>
      <c r="C179" s="26" t="s">
        <v>229</v>
      </c>
      <c r="D179" s="27" t="b">
        <f aca="false">AND(INDEX(C:C, MATCH("Pandemonium", AJ:AJ, 0)) = "Y")</f>
        <v>1</v>
      </c>
      <c r="E179" s="16" t="b">
        <f aca="false">SUMPRODUCT((F179:AD179 &lt;&gt; "") * (F179:AD179 &lt;= F$2:AD$2)) = 2</f>
        <v>1</v>
      </c>
      <c r="F179" s="19"/>
      <c r="G179" s="19"/>
      <c r="H179" s="19"/>
      <c r="I179" s="19"/>
      <c r="J179" s="19"/>
      <c r="K179" s="19"/>
      <c r="L179" s="19"/>
      <c r="M179" s="19"/>
      <c r="N179" s="19" t="n">
        <v>10</v>
      </c>
      <c r="O179" s="19"/>
      <c r="P179" s="19"/>
      <c r="Q179" s="19"/>
      <c r="R179" s="19"/>
      <c r="S179" s="19"/>
      <c r="T179" s="19"/>
      <c r="U179" s="19"/>
      <c r="V179" s="19"/>
      <c r="W179" s="19" t="n">
        <v>22</v>
      </c>
      <c r="X179" s="19"/>
      <c r="Y179" s="19"/>
      <c r="Z179" s="19"/>
      <c r="AA179" s="19"/>
      <c r="AB179" s="19"/>
      <c r="AC179" s="19"/>
      <c r="AD179" s="19"/>
      <c r="AE179" s="7" t="n">
        <f aca="false">SUMPRODUCT((F179:AA179 - $F$2:$AA$2) * ((F179:AA179 - $F$2:$AA$2) &gt; 0))</f>
        <v>0</v>
      </c>
      <c r="AI179" s="20"/>
      <c r="AJ179" s="12" t="s">
        <v>200</v>
      </c>
      <c r="AK179" s="21" t="str">
        <f aca="false">IFERROR(ADDRESS(MATCH(AJ179, $A$5:$A$180, 0) + 4, COLUMN(A175)), "Not Found")</f>
        <v>$A$179</v>
      </c>
    </row>
    <row r="180" customFormat="false" ht="17.4" hidden="false" customHeight="false" outlineLevel="0" collapsed="false">
      <c r="A180" s="12" t="s">
        <v>201</v>
      </c>
      <c r="B180" s="27" t="b">
        <f aca="false">AND($D180, $E180)</f>
        <v>0</v>
      </c>
      <c r="C180" s="26" t="s">
        <v>230</v>
      </c>
      <c r="D180" s="27" t="b">
        <f aca="false">AND(INDEX(C:C, MATCH("Pandemonium", AJ:AJ, 0)) = "Y")</f>
        <v>1</v>
      </c>
      <c r="E180" s="16" t="b">
        <f aca="false">SUMPRODUCT((F180:AD180 &lt;&gt; "") * (F180:AD180 &lt;= F$2:AD$2)) = 6</f>
        <v>0</v>
      </c>
      <c r="F180" s="19"/>
      <c r="G180" s="19"/>
      <c r="H180" s="19" t="n">
        <v>48</v>
      </c>
      <c r="I180" s="19"/>
      <c r="J180" s="19" t="n">
        <v>34</v>
      </c>
      <c r="K180" s="19"/>
      <c r="L180" s="19"/>
      <c r="M180" s="19"/>
      <c r="N180" s="19"/>
      <c r="O180" s="19"/>
      <c r="P180" s="19"/>
      <c r="Q180" s="19" t="n">
        <v>45</v>
      </c>
      <c r="R180" s="19"/>
      <c r="S180" s="19"/>
      <c r="T180" s="19"/>
      <c r="U180" s="19"/>
      <c r="V180" s="19"/>
      <c r="W180" s="19" t="n">
        <v>45</v>
      </c>
      <c r="X180" s="19" t="n">
        <v>51</v>
      </c>
      <c r="Y180" s="19"/>
      <c r="Z180" s="19"/>
      <c r="AA180" s="19"/>
      <c r="AB180" s="19" t="n">
        <v>40</v>
      </c>
      <c r="AC180" s="19"/>
      <c r="AD180" s="19"/>
      <c r="AE180" s="7" t="n">
        <f aca="false">SUMPRODUCT((F180:AA180 - $F$2:$AA$2) * ((F180:AA180 - $F$2:$AA$2) &gt; 0))</f>
        <v>7</v>
      </c>
      <c r="AI180" s="20"/>
      <c r="AJ180" s="12" t="s">
        <v>201</v>
      </c>
      <c r="AK180" s="21" t="str">
        <f aca="false">IFERROR(ADDRESS(MATCH(AJ180, $A$5:$A$180, 0) + 4, COLUMN(A176)), "Not Found")</f>
        <v>$A$180</v>
      </c>
    </row>
    <row r="181" customFormat="false" ht="15.75" hidden="false" customHeight="false" outlineLevel="0" collapsed="false">
      <c r="AD181" s="1"/>
    </row>
    <row r="182" customFormat="false" ht="15.75" hidden="false" customHeight="false" outlineLevel="0" collapsed="false">
      <c r="F182" s="8" t="n">
        <v>70</v>
      </c>
      <c r="G182" s="8" t="n">
        <v>50</v>
      </c>
      <c r="H182" s="8" t="n">
        <v>70</v>
      </c>
      <c r="I182" s="8" t="n">
        <v>70</v>
      </c>
      <c r="J182" s="8" t="n">
        <v>70</v>
      </c>
      <c r="K182" s="8" t="n">
        <v>65</v>
      </c>
      <c r="L182" s="8" t="n">
        <v>70</v>
      </c>
      <c r="M182" s="8" t="n">
        <v>75</v>
      </c>
      <c r="N182" s="8" t="n">
        <v>62</v>
      </c>
      <c r="O182" s="8" t="n">
        <v>60</v>
      </c>
      <c r="P182" s="8" t="n">
        <v>70</v>
      </c>
      <c r="Q182" s="8" t="n">
        <v>70</v>
      </c>
      <c r="R182" s="8" t="n">
        <v>75</v>
      </c>
      <c r="S182" s="8" t="n">
        <v>72</v>
      </c>
      <c r="T182" s="8" t="n">
        <v>50</v>
      </c>
      <c r="U182" s="8" t="n">
        <v>62</v>
      </c>
      <c r="V182" s="8" t="n">
        <v>60</v>
      </c>
      <c r="W182" s="1" t="n">
        <v>45</v>
      </c>
      <c r="X182" s="8" t="n">
        <v>69</v>
      </c>
      <c r="Y182" s="8" t="n">
        <v>70</v>
      </c>
      <c r="Z182" s="8" t="n">
        <v>60</v>
      </c>
      <c r="AA182" s="8" t="n">
        <v>72</v>
      </c>
      <c r="AB182" s="8" t="n">
        <v>72</v>
      </c>
      <c r="AC182" s="8" t="n">
        <v>200</v>
      </c>
      <c r="AD182" s="8" t="n">
        <v>85</v>
      </c>
    </row>
    <row r="184" customFormat="false" ht="15.75" hidden="false" customHeight="false" outlineLevel="0" collapsed="false">
      <c r="A184" s="20"/>
    </row>
    <row r="185" customFormat="false" ht="15.75" hidden="false" customHeight="false" outlineLevel="0" collapsed="false">
      <c r="R185" s="1" t="n">
        <f aca="false">SUM(R2,4)</f>
        <v>71</v>
      </c>
      <c r="S185" s="1" t="n">
        <f aca="false">SUM(S2,4)</f>
        <v>55</v>
      </c>
      <c r="T185" s="1" t="n">
        <f aca="false">SUM(T2,4)</f>
        <v>74</v>
      </c>
      <c r="U185" s="1" t="n">
        <f aca="false">SUM(U2,4)</f>
        <v>79</v>
      </c>
      <c r="V185" s="1" t="n">
        <f aca="false">SUM(V2,4)</f>
        <v>27</v>
      </c>
      <c r="W185" s="1" t="n">
        <f aca="false">SUM(W2,4)</f>
        <v>52</v>
      </c>
      <c r="X185" s="1" t="n">
        <f aca="false">SUM(X2,4)</f>
        <v>51</v>
      </c>
      <c r="Y185" s="1" t="n">
        <f aca="false">SUM(Y2,4)</f>
        <v>57</v>
      </c>
      <c r="Z185" s="1" t="n">
        <f aca="false">SUM(Z2,4)</f>
        <v>74</v>
      </c>
      <c r="AA185" s="1" t="n">
        <f aca="false">SUM(AA2,4)</f>
        <v>58</v>
      </c>
      <c r="AB185" s="1" t="n">
        <f aca="false">SUM(AB2,4)</f>
        <v>64</v>
      </c>
      <c r="AC185" s="1" t="n">
        <f aca="false">SUM(AC2,4)</f>
        <v>195</v>
      </c>
      <c r="AD185" s="1" t="n">
        <f aca="false">SUM(AD2,4)</f>
        <v>90</v>
      </c>
    </row>
    <row r="186" customFormat="false" ht="15.75" hidden="false" customHeight="false" outlineLevel="0" collapsed="false">
      <c r="A186" s="20"/>
    </row>
    <row r="187" customFormat="false" ht="15.75" hidden="false" customHeight="false" outlineLevel="0" collapsed="false">
      <c r="A187" s="20"/>
    </row>
    <row r="188" customFormat="false" ht="15.75" hidden="false" customHeight="false" outlineLevel="0" collapsed="false">
      <c r="A188" s="20"/>
    </row>
    <row r="189" customFormat="false" ht="15.75" hidden="false" customHeight="false" outlineLevel="0" collapsed="false">
      <c r="A189" s="20"/>
      <c r="D189" s="7"/>
      <c r="E189" s="20"/>
      <c r="J189" s="20"/>
    </row>
    <row r="190" customFormat="false" ht="15.75" hidden="false" customHeight="false" outlineLevel="0" collapsed="false">
      <c r="A190" s="20"/>
      <c r="D190" s="7"/>
      <c r="E190" s="20"/>
    </row>
    <row r="191" customFormat="false" ht="15.75" hidden="false" customHeight="false" outlineLevel="0" collapsed="false">
      <c r="A191" s="20"/>
      <c r="D191" s="29"/>
      <c r="E191" s="20"/>
    </row>
    <row r="193" customFormat="false" ht="15.75" hidden="false" customHeight="false" outlineLevel="0" collapsed="false">
      <c r="A193" s="20"/>
    </row>
    <row r="194" customFormat="false" ht="15.75" hidden="false" customHeight="false" outlineLevel="0" collapsed="false">
      <c r="D194" s="9"/>
      <c r="E194" s="20"/>
    </row>
    <row r="195" customFormat="false" ht="15.75" hidden="false" customHeight="false" outlineLevel="0" collapsed="false">
      <c r="D195" s="9"/>
    </row>
    <row r="197" customFormat="false" ht="15.75" hidden="false" customHeight="false" outlineLevel="0" collapsed="false">
      <c r="A197" s="9"/>
    </row>
    <row r="198" customFormat="false" ht="15.75" hidden="false" customHeight="false" outlineLevel="0" collapsed="false">
      <c r="A198" s="9"/>
    </row>
    <row r="199" customFormat="false" ht="15.75" hidden="false" customHeight="false" outlineLevel="0" collapsed="false">
      <c r="A199" s="9"/>
    </row>
    <row r="201" customFormat="false" ht="15.75" hidden="false" customHeight="false" outlineLevel="0" collapsed="false">
      <c r="D201" s="9"/>
    </row>
    <row r="202" customFormat="false" ht="15.75" hidden="false" customHeight="false" outlineLevel="0" collapsed="false">
      <c r="D202" s="9"/>
    </row>
  </sheetData>
  <conditionalFormatting sqref="C5:C180">
    <cfRule type="containsText" priority="2" operator="containsText" aboveAverage="0" equalAverage="0" bottom="0" percent="0" rank="0" text="N" dxfId="0">
      <formula>NOT(ISERROR(SEARCH("N",C5)))</formula>
    </cfRule>
    <cfRule type="containsText" priority="3" operator="containsText" aboveAverage="0" equalAverage="0" bottom="0" percent="0" rank="0" text="Y" dxfId="1">
      <formula>NOT(ISERROR(SEARCH("Y",C5)))</formula>
    </cfRule>
  </conditionalFormatting>
  <conditionalFormatting sqref="F5:AD68 F70:AD180 F69:W69 Y69:AD69">
    <cfRule type="expression" priority="4" aboveAverage="0" equalAverage="0" bottom="0" percent="0" rank="0" text="" dxfId="0">
      <formula>F5 &gt; F$2</formula>
    </cfRule>
    <cfRule type="expression" priority="5" aboveAverage="0" equalAverage="0" bottom="0" percent="0" rank="0" text="" dxfId="1">
      <formula>F5 &lt;= F$2</formula>
    </cfRule>
  </conditionalFormatting>
  <conditionalFormatting sqref="B5:B180">
    <cfRule type="expression" priority="6" aboveAverage="0" equalAverage="0" bottom="0" percent="0" rank="0" text="" dxfId="2">
      <formula>AND(B5=1, C5="n")</formula>
    </cfRule>
    <cfRule type="expression" priority="7" aboveAverage="0" equalAverage="0" bottom="0" percent="0" rank="0" text="" dxfId="1">
      <formula>AND(B5=1, C5="y")</formula>
    </cfRule>
    <cfRule type="expression" priority="8" aboveAverage="0" equalAverage="0" bottom="0" percent="0" rank="0" text="" dxfId="3">
      <formula>B5=0</formula>
    </cfRule>
  </conditionalFormatting>
  <conditionalFormatting sqref="X69">
    <cfRule type="expression" priority="9" aboveAverage="0" equalAverage="0" bottom="0" percent="0" rank="0" text="" dxfId="0">
      <formula>X69 &gt; X$2</formula>
    </cfRule>
  </conditionalFormatting>
  <conditionalFormatting sqref="X69">
    <cfRule type="expression" priority="10" aboveAverage="0" equalAverage="0" bottom="0" percent="0" rank="0" text="" dxfId="1">
      <formula>X69 &lt;= X$2</formula>
    </cfRule>
  </conditionalFormatting>
  <hyperlinks>
    <hyperlink ref="A177" r:id="rId1" display="Pandemonium"/>
    <hyperlink ref="AJ177" r:id="rId2" display="Pandemonium"/>
    <hyperlink ref="A178" r:id="rId3" display="Prying Times"/>
    <hyperlink ref="AJ178" r:id="rId4" display="Prying Times"/>
    <hyperlink ref="A179" r:id="rId5" display="Current Affairs"/>
    <hyperlink ref="AJ179" r:id="rId6" display="Current Affairs"/>
    <hyperlink ref="A180" r:id="rId7" display="Troubled Tortugans"/>
    <hyperlink ref="AJ180" r:id="rId8" display="Troubled Tortugan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2" min="1" style="1" width="18.88"/>
  </cols>
  <sheetData>
    <row r="1" customFormat="false" ht="15.75" hidden="false" customHeight="false" outlineLevel="0" collapsed="false">
      <c r="B1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68" activeCellId="0" sqref="B16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89"/>
    <col collapsed="false" customWidth="true" hidden="false" outlineLevel="0" max="6" min="6" style="1" width="21.81"/>
  </cols>
  <sheetData>
    <row r="1" customFormat="false" ht="16.4" hidden="false" customHeight="false" outlineLevel="0" collapsed="false">
      <c r="A1" s="8" t="s">
        <v>26</v>
      </c>
      <c r="B1" s="30" t="n">
        <f aca="false">TRUE()</f>
        <v>1</v>
      </c>
      <c r="C1" s="17" t="s">
        <v>229</v>
      </c>
      <c r="E1" s="8" t="s">
        <v>26</v>
      </c>
      <c r="F1" s="20" t="n">
        <f aca="false">TRUE()</f>
        <v>1</v>
      </c>
      <c r="G1" s="17" t="s">
        <v>229</v>
      </c>
    </row>
    <row r="2" customFormat="false" ht="16.4" hidden="false" customHeight="false" outlineLevel="0" collapsed="false">
      <c r="A2" s="8" t="s">
        <v>27</v>
      </c>
      <c r="B2" s="30" t="n">
        <f aca="false">FALSE()</f>
        <v>0</v>
      </c>
      <c r="C2" s="17" t="s">
        <v>230</v>
      </c>
      <c r="E2" s="8" t="s">
        <v>27</v>
      </c>
      <c r="F2" s="20" t="n">
        <f aca="false">TRUE()</f>
        <v>1</v>
      </c>
      <c r="G2" s="17" t="s">
        <v>230</v>
      </c>
    </row>
    <row r="3" customFormat="false" ht="23.85" hidden="false" customHeight="false" outlineLevel="0" collapsed="false">
      <c r="A3" s="9" t="s">
        <v>251</v>
      </c>
      <c r="B3" s="30" t="n">
        <f aca="false">FALSE()</f>
        <v>0</v>
      </c>
      <c r="C3" s="26" t="s">
        <v>230</v>
      </c>
      <c r="E3" s="9" t="s">
        <v>251</v>
      </c>
      <c r="F3" s="20" t="n">
        <f aca="false">FALSE()</f>
        <v>0</v>
      </c>
      <c r="G3" s="26" t="s">
        <v>230</v>
      </c>
    </row>
    <row r="4" customFormat="false" ht="14.15" hidden="false" customHeight="false" outlineLevel="0" collapsed="false">
      <c r="A4" s="11" t="s">
        <v>186</v>
      </c>
      <c r="B4" s="30" t="n">
        <f aca="false">FALSE()</f>
        <v>0</v>
      </c>
      <c r="C4" s="26" t="s">
        <v>230</v>
      </c>
      <c r="E4" s="11" t="s">
        <v>186</v>
      </c>
      <c r="F4" s="20" t="n">
        <f aca="false">FALSE()</f>
        <v>0</v>
      </c>
      <c r="G4" s="26" t="s">
        <v>230</v>
      </c>
    </row>
    <row r="5" customFormat="false" ht="16.4" hidden="false" customHeight="false" outlineLevel="0" collapsed="false">
      <c r="A5" s="11" t="s">
        <v>172</v>
      </c>
      <c r="B5" s="30" t="n">
        <f aca="false">TRUE()</f>
        <v>1</v>
      </c>
      <c r="C5" s="26" t="s">
        <v>229</v>
      </c>
      <c r="E5" s="11" t="s">
        <v>172</v>
      </c>
      <c r="F5" s="20" t="n">
        <f aca="false">TRUE()</f>
        <v>1</v>
      </c>
      <c r="G5" s="26" t="s">
        <v>229</v>
      </c>
    </row>
    <row r="6" customFormat="false" ht="14.15" hidden="false" customHeight="false" outlineLevel="0" collapsed="false">
      <c r="A6" s="11" t="s">
        <v>177</v>
      </c>
      <c r="B6" s="30" t="n">
        <f aca="false">FALSE()</f>
        <v>0</v>
      </c>
      <c r="C6" s="26" t="s">
        <v>230</v>
      </c>
      <c r="E6" s="11" t="s">
        <v>177</v>
      </c>
      <c r="F6" s="20" t="n">
        <f aca="false">FALSE()</f>
        <v>0</v>
      </c>
      <c r="G6" s="26" t="s">
        <v>230</v>
      </c>
    </row>
    <row r="7" customFormat="false" ht="16.4" hidden="false" customHeight="false" outlineLevel="0" collapsed="false">
      <c r="A7" s="8" t="s">
        <v>28</v>
      </c>
      <c r="B7" s="30" t="n">
        <f aca="false">TRUE()</f>
        <v>1</v>
      </c>
      <c r="C7" s="17" t="s">
        <v>229</v>
      </c>
      <c r="E7" s="8" t="s">
        <v>28</v>
      </c>
      <c r="F7" s="20" t="n">
        <f aca="false">FALSE()</f>
        <v>0</v>
      </c>
      <c r="G7" s="17" t="s">
        <v>229</v>
      </c>
    </row>
    <row r="8" customFormat="false" ht="16.4" hidden="false" customHeight="false" outlineLevel="0" collapsed="false">
      <c r="A8" s="8" t="s">
        <v>29</v>
      </c>
      <c r="B8" s="30" t="n">
        <f aca="false">TRUE()</f>
        <v>1</v>
      </c>
      <c r="C8" s="17" t="s">
        <v>229</v>
      </c>
      <c r="E8" s="8" t="s">
        <v>29</v>
      </c>
      <c r="F8" s="20" t="n">
        <f aca="false">TRUE()</f>
        <v>1</v>
      </c>
      <c r="G8" s="17" t="s">
        <v>229</v>
      </c>
    </row>
    <row r="9" customFormat="false" ht="16.4" hidden="false" customHeight="false" outlineLevel="0" collapsed="false">
      <c r="A9" s="8" t="s">
        <v>31</v>
      </c>
      <c r="B9" s="30" t="n">
        <f aca="false">TRUE()</f>
        <v>1</v>
      </c>
      <c r="C9" s="17" t="s">
        <v>229</v>
      </c>
      <c r="E9" s="8" t="s">
        <v>31</v>
      </c>
      <c r="F9" s="20" t="n">
        <f aca="false">FALSE()</f>
        <v>0</v>
      </c>
      <c r="G9" s="17" t="s">
        <v>229</v>
      </c>
    </row>
    <row r="10" customFormat="false" ht="16.4" hidden="false" customHeight="false" outlineLevel="0" collapsed="false">
      <c r="A10" s="8" t="s">
        <v>31</v>
      </c>
      <c r="B10" s="30" t="n">
        <f aca="false">TRUE()</f>
        <v>1</v>
      </c>
      <c r="C10" s="17" t="s">
        <v>229</v>
      </c>
      <c r="E10" s="8" t="s">
        <v>31</v>
      </c>
      <c r="F10" s="20" t="n">
        <f aca="false">TRUE()</f>
        <v>1</v>
      </c>
      <c r="G10" s="17" t="s">
        <v>229</v>
      </c>
    </row>
    <row r="11" customFormat="false" ht="16.4" hidden="false" customHeight="false" outlineLevel="0" collapsed="false">
      <c r="A11" s="11" t="s">
        <v>156</v>
      </c>
      <c r="B11" s="30" t="n">
        <f aca="false">TRUE()</f>
        <v>1</v>
      </c>
      <c r="C11" s="26" t="s">
        <v>229</v>
      </c>
      <c r="E11" s="11" t="s">
        <v>156</v>
      </c>
      <c r="F11" s="20" t="n">
        <f aca="false">TRUE()</f>
        <v>1</v>
      </c>
      <c r="G11" s="26" t="s">
        <v>229</v>
      </c>
    </row>
    <row r="12" customFormat="false" ht="16.4" hidden="false" customHeight="false" outlineLevel="0" collapsed="false">
      <c r="A12" s="8" t="s">
        <v>32</v>
      </c>
      <c r="B12" s="30" t="n">
        <f aca="false">TRUE()</f>
        <v>1</v>
      </c>
      <c r="C12" s="17" t="s">
        <v>229</v>
      </c>
      <c r="E12" s="8" t="s">
        <v>32</v>
      </c>
      <c r="F12" s="20" t="n">
        <f aca="false">TRUE()</f>
        <v>1</v>
      </c>
      <c r="G12" s="17" t="s">
        <v>229</v>
      </c>
    </row>
    <row r="13" customFormat="false" ht="16.4" hidden="false" customHeight="false" outlineLevel="0" collapsed="false">
      <c r="A13" s="11" t="s">
        <v>183</v>
      </c>
      <c r="B13" s="30" t="n">
        <f aca="false">TRUE()</f>
        <v>1</v>
      </c>
      <c r="C13" s="26" t="s">
        <v>229</v>
      </c>
      <c r="E13" s="11" t="s">
        <v>183</v>
      </c>
      <c r="F13" s="20" t="n">
        <f aca="false">TRUE()</f>
        <v>1</v>
      </c>
      <c r="G13" s="26" t="s">
        <v>229</v>
      </c>
    </row>
    <row r="14" customFormat="false" ht="16.4" hidden="false" customHeight="false" outlineLevel="0" collapsed="false">
      <c r="A14" s="11" t="s">
        <v>155</v>
      </c>
      <c r="B14" s="30" t="n">
        <f aca="false">TRUE()</f>
        <v>1</v>
      </c>
      <c r="C14" s="26" t="s">
        <v>229</v>
      </c>
      <c r="E14" s="11" t="s">
        <v>155</v>
      </c>
      <c r="F14" s="20" t="n">
        <f aca="false">TRUE()</f>
        <v>1</v>
      </c>
      <c r="G14" s="26" t="s">
        <v>229</v>
      </c>
    </row>
    <row r="15" customFormat="false" ht="16.4" hidden="false" customHeight="false" outlineLevel="0" collapsed="false">
      <c r="A15" s="8" t="s">
        <v>33</v>
      </c>
      <c r="B15" s="30" t="n">
        <f aca="false">TRUE()</f>
        <v>1</v>
      </c>
      <c r="C15" s="23" t="s">
        <v>229</v>
      </c>
      <c r="E15" s="8" t="s">
        <v>33</v>
      </c>
      <c r="F15" s="20" t="n">
        <f aca="false">TRUE()</f>
        <v>1</v>
      </c>
      <c r="G15" s="23" t="s">
        <v>229</v>
      </c>
    </row>
    <row r="16" customFormat="false" ht="16.4" hidden="false" customHeight="false" outlineLevel="0" collapsed="false">
      <c r="A16" s="8" t="s">
        <v>34</v>
      </c>
      <c r="B16" s="30" t="n">
        <f aca="false">TRUE()</f>
        <v>1</v>
      </c>
      <c r="C16" s="17" t="s">
        <v>230</v>
      </c>
      <c r="E16" s="8" t="s">
        <v>34</v>
      </c>
      <c r="F16" s="20" t="n">
        <f aca="false">TRUE()</f>
        <v>1</v>
      </c>
      <c r="G16" s="17" t="s">
        <v>230</v>
      </c>
    </row>
    <row r="17" customFormat="false" ht="16.4" hidden="false" customHeight="false" outlineLevel="0" collapsed="false">
      <c r="A17" s="8" t="s">
        <v>35</v>
      </c>
      <c r="B17" s="30" t="n">
        <f aca="false">TRUE()</f>
        <v>1</v>
      </c>
      <c r="C17" s="17" t="s">
        <v>230</v>
      </c>
      <c r="E17" s="8" t="s">
        <v>35</v>
      </c>
      <c r="F17" s="20" t="n">
        <f aca="false">TRUE()</f>
        <v>1</v>
      </c>
      <c r="G17" s="17" t="s">
        <v>230</v>
      </c>
    </row>
    <row r="18" customFormat="false" ht="16.4" hidden="false" customHeight="false" outlineLevel="0" collapsed="false">
      <c r="A18" s="8" t="s">
        <v>36</v>
      </c>
      <c r="B18" s="30" t="n">
        <f aca="false">TRUE()</f>
        <v>1</v>
      </c>
      <c r="C18" s="17" t="s">
        <v>229</v>
      </c>
      <c r="E18" s="8" t="s">
        <v>36</v>
      </c>
      <c r="F18" s="20" t="n">
        <f aca="false">TRUE()</f>
        <v>1</v>
      </c>
      <c r="G18" s="17" t="s">
        <v>229</v>
      </c>
    </row>
    <row r="19" customFormat="false" ht="16.4" hidden="false" customHeight="false" outlineLevel="0" collapsed="false">
      <c r="A19" s="8" t="s">
        <v>37</v>
      </c>
      <c r="B19" s="30" t="n">
        <f aca="false">TRUE()</f>
        <v>1</v>
      </c>
      <c r="C19" s="17" t="s">
        <v>229</v>
      </c>
      <c r="E19" s="8" t="s">
        <v>37</v>
      </c>
      <c r="F19" s="20" t="n">
        <f aca="false">TRUE()</f>
        <v>1</v>
      </c>
      <c r="G19" s="17" t="s">
        <v>229</v>
      </c>
    </row>
    <row r="20" customFormat="false" ht="16.4" hidden="false" customHeight="false" outlineLevel="0" collapsed="false">
      <c r="A20" s="12" t="s">
        <v>200</v>
      </c>
      <c r="B20" s="31" t="n">
        <f aca="false">TRUE()</f>
        <v>1</v>
      </c>
      <c r="C20" s="26" t="s">
        <v>229</v>
      </c>
      <c r="E20" s="12" t="s">
        <v>200</v>
      </c>
      <c r="F20" s="1" t="s">
        <v>262</v>
      </c>
      <c r="G20" s="26" t="s">
        <v>229</v>
      </c>
    </row>
    <row r="21" customFormat="false" ht="23.85" hidden="false" customHeight="false" outlineLevel="0" collapsed="false">
      <c r="A21" s="9" t="s">
        <v>194</v>
      </c>
      <c r="B21" s="30" t="n">
        <f aca="false">TRUE()</f>
        <v>1</v>
      </c>
      <c r="C21" s="26" t="s">
        <v>229</v>
      </c>
      <c r="E21" s="9" t="s">
        <v>194</v>
      </c>
      <c r="F21" s="20" t="n">
        <f aca="false">TRUE()</f>
        <v>1</v>
      </c>
      <c r="G21" s="26" t="s">
        <v>229</v>
      </c>
    </row>
    <row r="22" customFormat="false" ht="14.15" hidden="false" customHeight="false" outlineLevel="0" collapsed="false">
      <c r="A22" s="11" t="s">
        <v>194</v>
      </c>
      <c r="B22" s="30" t="n">
        <f aca="false">FALSE()</f>
        <v>0</v>
      </c>
      <c r="C22" s="26" t="s">
        <v>230</v>
      </c>
      <c r="E22" s="11" t="s">
        <v>194</v>
      </c>
      <c r="F22" s="20" t="n">
        <f aca="false">FALSE()</f>
        <v>0</v>
      </c>
      <c r="G22" s="26" t="s">
        <v>230</v>
      </c>
    </row>
    <row r="23" customFormat="false" ht="16.4" hidden="false" customHeight="false" outlineLevel="0" collapsed="false">
      <c r="A23" s="8" t="s">
        <v>38</v>
      </c>
      <c r="B23" s="30" t="n">
        <f aca="false">FALSE()</f>
        <v>0</v>
      </c>
      <c r="C23" s="17" t="s">
        <v>230</v>
      </c>
      <c r="E23" s="8" t="s">
        <v>38</v>
      </c>
      <c r="F23" s="20" t="n">
        <f aca="false">FALSE()</f>
        <v>0</v>
      </c>
      <c r="G23" s="17" t="s">
        <v>230</v>
      </c>
    </row>
    <row r="24" customFormat="false" ht="16.4" hidden="false" customHeight="false" outlineLevel="0" collapsed="false">
      <c r="A24" s="11" t="s">
        <v>191</v>
      </c>
      <c r="B24" s="30" t="n">
        <f aca="false">TRUE()</f>
        <v>1</v>
      </c>
      <c r="C24" s="26" t="s">
        <v>230</v>
      </c>
      <c r="E24" s="11" t="s">
        <v>191</v>
      </c>
      <c r="F24" s="20" t="n">
        <f aca="false">TRUE()</f>
        <v>1</v>
      </c>
      <c r="G24" s="26" t="s">
        <v>230</v>
      </c>
    </row>
    <row r="25" customFormat="false" ht="16.4" hidden="false" customHeight="false" outlineLevel="0" collapsed="false">
      <c r="A25" s="8" t="s">
        <v>39</v>
      </c>
      <c r="B25" s="30" t="n">
        <f aca="false">TRUE()</f>
        <v>1</v>
      </c>
      <c r="C25" s="17" t="s">
        <v>229</v>
      </c>
      <c r="E25" s="8" t="s">
        <v>39</v>
      </c>
      <c r="F25" s="20" t="n">
        <f aca="false">TRUE()</f>
        <v>1</v>
      </c>
      <c r="G25" s="17" t="s">
        <v>229</v>
      </c>
    </row>
    <row r="26" customFormat="false" ht="16.4" hidden="false" customHeight="false" outlineLevel="0" collapsed="false">
      <c r="A26" s="8" t="s">
        <v>40</v>
      </c>
      <c r="B26" s="30" t="n">
        <f aca="false">FALSE()</f>
        <v>0</v>
      </c>
      <c r="C26" s="17" t="s">
        <v>230</v>
      </c>
      <c r="E26" s="8" t="s">
        <v>40</v>
      </c>
      <c r="F26" s="20" t="n">
        <f aca="false">TRUE()</f>
        <v>1</v>
      </c>
      <c r="G26" s="17" t="s">
        <v>230</v>
      </c>
    </row>
    <row r="27" customFormat="false" ht="14.15" hidden="false" customHeight="false" outlineLevel="0" collapsed="false">
      <c r="A27" s="11" t="s">
        <v>184</v>
      </c>
      <c r="B27" s="30" t="n">
        <f aca="false">FALSE()</f>
        <v>0</v>
      </c>
      <c r="C27" s="26" t="s">
        <v>230</v>
      </c>
      <c r="E27" s="11" t="s">
        <v>184</v>
      </c>
      <c r="F27" s="20" t="n">
        <f aca="false">FALSE()</f>
        <v>0</v>
      </c>
      <c r="G27" s="26" t="s">
        <v>230</v>
      </c>
    </row>
    <row r="28" customFormat="false" ht="16.4" hidden="false" customHeight="false" outlineLevel="0" collapsed="false">
      <c r="A28" s="8" t="s">
        <v>41</v>
      </c>
      <c r="B28" s="30" t="n">
        <f aca="false">TRUE()</f>
        <v>1</v>
      </c>
      <c r="C28" s="17" t="s">
        <v>229</v>
      </c>
      <c r="E28" s="8" t="s">
        <v>41</v>
      </c>
      <c r="F28" s="20" t="n">
        <f aca="false">TRUE()</f>
        <v>1</v>
      </c>
      <c r="G28" s="17" t="s">
        <v>229</v>
      </c>
    </row>
    <row r="29" customFormat="false" ht="23.85" hidden="false" customHeight="false" outlineLevel="0" collapsed="false">
      <c r="A29" s="9" t="s">
        <v>249</v>
      </c>
      <c r="B29" s="30" t="n">
        <f aca="false">TRUE()</f>
        <v>1</v>
      </c>
      <c r="C29" s="26" t="s">
        <v>229</v>
      </c>
      <c r="E29" s="9" t="s">
        <v>249</v>
      </c>
      <c r="F29" s="20" t="n">
        <f aca="false">TRUE()</f>
        <v>1</v>
      </c>
      <c r="G29" s="26" t="s">
        <v>229</v>
      </c>
    </row>
    <row r="30" customFormat="false" ht="16.4" hidden="false" customHeight="false" outlineLevel="0" collapsed="false">
      <c r="A30" s="8" t="s">
        <v>42</v>
      </c>
      <c r="B30" s="30" t="n">
        <f aca="false">TRUE()</f>
        <v>1</v>
      </c>
      <c r="C30" s="17" t="s">
        <v>229</v>
      </c>
      <c r="E30" s="8" t="s">
        <v>42</v>
      </c>
      <c r="F30" s="20" t="n">
        <f aca="false">TRUE()</f>
        <v>1</v>
      </c>
      <c r="G30" s="17" t="s">
        <v>229</v>
      </c>
    </row>
    <row r="31" customFormat="false" ht="14.15" hidden="false" customHeight="false" outlineLevel="0" collapsed="false">
      <c r="A31" s="11" t="s">
        <v>181</v>
      </c>
      <c r="B31" s="30" t="n">
        <f aca="false">FALSE()</f>
        <v>0</v>
      </c>
      <c r="C31" s="26" t="s">
        <v>230</v>
      </c>
      <c r="E31" s="11" t="s">
        <v>181</v>
      </c>
      <c r="F31" s="20" t="n">
        <f aca="false">FALSE()</f>
        <v>0</v>
      </c>
      <c r="G31" s="26" t="s">
        <v>230</v>
      </c>
    </row>
    <row r="32" customFormat="false" ht="16.4" hidden="false" customHeight="false" outlineLevel="0" collapsed="false">
      <c r="A32" s="8" t="s">
        <v>43</v>
      </c>
      <c r="B32" s="30" t="n">
        <f aca="false">FALSE()</f>
        <v>0</v>
      </c>
      <c r="C32" s="17" t="s">
        <v>230</v>
      </c>
      <c r="E32" s="8" t="s">
        <v>43</v>
      </c>
      <c r="F32" s="20" t="n">
        <f aca="false">FALSE()</f>
        <v>0</v>
      </c>
      <c r="G32" s="17" t="s">
        <v>230</v>
      </c>
    </row>
    <row r="33" customFormat="false" ht="16.4" hidden="false" customHeight="false" outlineLevel="0" collapsed="false">
      <c r="A33" s="9" t="s">
        <v>231</v>
      </c>
      <c r="B33" s="30" t="n">
        <f aca="false">TRUE()</f>
        <v>1</v>
      </c>
      <c r="C33" s="17" t="s">
        <v>229</v>
      </c>
      <c r="E33" s="9" t="s">
        <v>231</v>
      </c>
      <c r="F33" s="20" t="n">
        <f aca="false">TRUE()</f>
        <v>1</v>
      </c>
      <c r="G33" s="17" t="s">
        <v>229</v>
      </c>
    </row>
    <row r="34" customFormat="false" ht="16.4" hidden="false" customHeight="false" outlineLevel="0" collapsed="false">
      <c r="A34" s="8" t="s">
        <v>45</v>
      </c>
      <c r="B34" s="30" t="n">
        <f aca="false">TRUE()</f>
        <v>1</v>
      </c>
      <c r="C34" s="17" t="s">
        <v>229</v>
      </c>
      <c r="E34" s="8" t="s">
        <v>45</v>
      </c>
      <c r="F34" s="20" t="n">
        <f aca="false">TRUE()</f>
        <v>1</v>
      </c>
      <c r="G34" s="17" t="s">
        <v>229</v>
      </c>
    </row>
    <row r="35" customFormat="false" ht="16.4" hidden="false" customHeight="false" outlineLevel="0" collapsed="false">
      <c r="A35" s="8" t="s">
        <v>46</v>
      </c>
      <c r="B35" s="30" t="n">
        <f aca="false">TRUE()</f>
        <v>1</v>
      </c>
      <c r="C35" s="17" t="s">
        <v>229</v>
      </c>
      <c r="E35" s="8" t="s">
        <v>46</v>
      </c>
      <c r="F35" s="20" t="n">
        <f aca="false">TRUE()</f>
        <v>1</v>
      </c>
      <c r="G35" s="17" t="s">
        <v>229</v>
      </c>
    </row>
    <row r="36" customFormat="false" ht="14.15" hidden="false" customHeight="false" outlineLevel="0" collapsed="false">
      <c r="A36" s="11" t="s">
        <v>160</v>
      </c>
      <c r="B36" s="30" t="n">
        <f aca="false">FALSE()</f>
        <v>0</v>
      </c>
      <c r="C36" s="26" t="s">
        <v>230</v>
      </c>
      <c r="E36" s="11" t="s">
        <v>160</v>
      </c>
      <c r="F36" s="20" t="n">
        <f aca="false">FALSE()</f>
        <v>0</v>
      </c>
      <c r="G36" s="26" t="s">
        <v>230</v>
      </c>
    </row>
    <row r="37" customFormat="false" ht="16.4" hidden="false" customHeight="false" outlineLevel="0" collapsed="false">
      <c r="A37" s="8" t="s">
        <v>47</v>
      </c>
      <c r="B37" s="30" t="n">
        <f aca="false">FALSE()</f>
        <v>0</v>
      </c>
      <c r="C37" s="17" t="s">
        <v>230</v>
      </c>
      <c r="E37" s="8" t="s">
        <v>47</v>
      </c>
      <c r="F37" s="20" t="n">
        <f aca="false">FALSE()</f>
        <v>0</v>
      </c>
      <c r="G37" s="17" t="s">
        <v>230</v>
      </c>
    </row>
    <row r="38" customFormat="false" ht="16.4" hidden="false" customHeight="false" outlineLevel="0" collapsed="false">
      <c r="A38" s="8" t="s">
        <v>48</v>
      </c>
      <c r="B38" s="30" t="n">
        <f aca="false">TRUE()</f>
        <v>1</v>
      </c>
      <c r="C38" s="17" t="s">
        <v>229</v>
      </c>
      <c r="E38" s="8" t="s">
        <v>48</v>
      </c>
      <c r="F38" s="20" t="n">
        <f aca="false">TRUE()</f>
        <v>1</v>
      </c>
      <c r="G38" s="17" t="s">
        <v>229</v>
      </c>
    </row>
    <row r="39" customFormat="false" ht="16.4" hidden="false" customHeight="false" outlineLevel="0" collapsed="false">
      <c r="A39" s="8" t="s">
        <v>49</v>
      </c>
      <c r="B39" s="30" t="n">
        <f aca="false">TRUE()</f>
        <v>1</v>
      </c>
      <c r="C39" s="17" t="s">
        <v>229</v>
      </c>
      <c r="E39" s="8" t="s">
        <v>49</v>
      </c>
      <c r="F39" s="20" t="n">
        <f aca="false">TRUE()</f>
        <v>1</v>
      </c>
      <c r="G39" s="17" t="s">
        <v>229</v>
      </c>
    </row>
    <row r="40" customFormat="false" ht="16.4" hidden="false" customHeight="false" outlineLevel="0" collapsed="false">
      <c r="A40" s="8" t="s">
        <v>50</v>
      </c>
      <c r="B40" s="30" t="n">
        <f aca="false">TRUE()</f>
        <v>1</v>
      </c>
      <c r="C40" s="17" t="s">
        <v>230</v>
      </c>
      <c r="E40" s="8" t="s">
        <v>50</v>
      </c>
      <c r="F40" s="20" t="n">
        <f aca="false">FALSE()</f>
        <v>0</v>
      </c>
      <c r="G40" s="17" t="s">
        <v>230</v>
      </c>
    </row>
    <row r="41" customFormat="false" ht="16.4" hidden="false" customHeight="false" outlineLevel="0" collapsed="false">
      <c r="A41" s="8" t="s">
        <v>51</v>
      </c>
      <c r="B41" s="30" t="n">
        <f aca="false">TRUE()</f>
        <v>1</v>
      </c>
      <c r="C41" s="17" t="s">
        <v>229</v>
      </c>
      <c r="E41" s="8" t="s">
        <v>51</v>
      </c>
      <c r="F41" s="20" t="n">
        <f aca="false">TRUE()</f>
        <v>1</v>
      </c>
      <c r="G41" s="17" t="s">
        <v>229</v>
      </c>
    </row>
    <row r="42" customFormat="false" ht="16.4" hidden="false" customHeight="false" outlineLevel="0" collapsed="false">
      <c r="A42" s="8" t="s">
        <v>52</v>
      </c>
      <c r="B42" s="30" t="n">
        <f aca="false">TRUE()</f>
        <v>1</v>
      </c>
      <c r="C42" s="23" t="s">
        <v>229</v>
      </c>
      <c r="E42" s="8" t="s">
        <v>52</v>
      </c>
      <c r="F42" s="20" t="n">
        <f aca="false">TRUE()</f>
        <v>1</v>
      </c>
      <c r="G42" s="23" t="s">
        <v>229</v>
      </c>
    </row>
    <row r="43" customFormat="false" ht="16.4" hidden="false" customHeight="false" outlineLevel="0" collapsed="false">
      <c r="A43" s="8" t="s">
        <v>53</v>
      </c>
      <c r="B43" s="30" t="n">
        <f aca="false">TRUE()</f>
        <v>1</v>
      </c>
      <c r="C43" s="17" t="s">
        <v>229</v>
      </c>
      <c r="E43" s="8" t="s">
        <v>53</v>
      </c>
      <c r="F43" s="20" t="n">
        <f aca="false">FALSE()</f>
        <v>0</v>
      </c>
      <c r="G43" s="17" t="s">
        <v>229</v>
      </c>
    </row>
    <row r="44" customFormat="false" ht="16.4" hidden="false" customHeight="false" outlineLevel="0" collapsed="false">
      <c r="A44" s="8" t="s">
        <v>54</v>
      </c>
      <c r="B44" s="30" t="n">
        <f aca="false">TRUE()</f>
        <v>1</v>
      </c>
      <c r="C44" s="17" t="s">
        <v>230</v>
      </c>
      <c r="E44" s="8" t="s">
        <v>54</v>
      </c>
      <c r="F44" s="20" t="n">
        <f aca="false">TRUE()</f>
        <v>1</v>
      </c>
      <c r="G44" s="17" t="s">
        <v>230</v>
      </c>
    </row>
    <row r="45" customFormat="false" ht="16.4" hidden="false" customHeight="false" outlineLevel="0" collapsed="false">
      <c r="A45" s="8" t="s">
        <v>55</v>
      </c>
      <c r="B45" s="30" t="n">
        <f aca="false">TRUE()</f>
        <v>1</v>
      </c>
      <c r="C45" s="23" t="s">
        <v>229</v>
      </c>
      <c r="E45" s="8" t="s">
        <v>55</v>
      </c>
      <c r="F45" s="20" t="n">
        <f aca="false">TRUE()</f>
        <v>1</v>
      </c>
      <c r="G45" s="23" t="s">
        <v>229</v>
      </c>
    </row>
    <row r="46" customFormat="false" ht="16.4" hidden="false" customHeight="false" outlineLevel="0" collapsed="false">
      <c r="A46" s="8" t="s">
        <v>56</v>
      </c>
      <c r="B46" s="30" t="n">
        <f aca="false">TRUE()</f>
        <v>1</v>
      </c>
      <c r="C46" s="17" t="s">
        <v>229</v>
      </c>
      <c r="E46" s="8" t="s">
        <v>56</v>
      </c>
      <c r="F46" s="20" t="n">
        <f aca="false">TRUE()</f>
        <v>1</v>
      </c>
      <c r="G46" s="17" t="s">
        <v>229</v>
      </c>
    </row>
    <row r="47" customFormat="false" ht="16.4" hidden="false" customHeight="false" outlineLevel="0" collapsed="false">
      <c r="A47" s="11" t="s">
        <v>193</v>
      </c>
      <c r="B47" s="30" t="n">
        <f aca="false">TRUE()</f>
        <v>1</v>
      </c>
      <c r="C47" s="26" t="s">
        <v>229</v>
      </c>
      <c r="E47" s="11" t="s">
        <v>193</v>
      </c>
      <c r="F47" s="20" t="n">
        <f aca="false">TRUE()</f>
        <v>1</v>
      </c>
      <c r="G47" s="26" t="s">
        <v>229</v>
      </c>
    </row>
    <row r="48" customFormat="false" ht="16.4" hidden="false" customHeight="false" outlineLevel="0" collapsed="false">
      <c r="A48" s="8" t="s">
        <v>232</v>
      </c>
      <c r="B48" s="30" t="n">
        <f aca="false">TRUE()</f>
        <v>1</v>
      </c>
      <c r="C48" s="17" t="s">
        <v>230</v>
      </c>
      <c r="E48" s="8" t="s">
        <v>232</v>
      </c>
      <c r="F48" s="20" t="n">
        <f aca="false">FALSE()</f>
        <v>0</v>
      </c>
      <c r="G48" s="17" t="s">
        <v>230</v>
      </c>
    </row>
    <row r="49" customFormat="false" ht="16.4" hidden="false" customHeight="false" outlineLevel="0" collapsed="false">
      <c r="A49" s="8" t="s">
        <v>58</v>
      </c>
      <c r="B49" s="30" t="n">
        <f aca="false">TRUE()</f>
        <v>1</v>
      </c>
      <c r="C49" s="17" t="s">
        <v>229</v>
      </c>
      <c r="E49" s="8" t="s">
        <v>58</v>
      </c>
      <c r="F49" s="20" t="n">
        <f aca="false">TRUE()</f>
        <v>1</v>
      </c>
      <c r="G49" s="17" t="s">
        <v>229</v>
      </c>
    </row>
    <row r="50" customFormat="false" ht="16.4" hidden="false" customHeight="false" outlineLevel="0" collapsed="false">
      <c r="A50" s="8" t="s">
        <v>59</v>
      </c>
      <c r="B50" s="30" t="n">
        <f aca="false">FALSE()</f>
        <v>0</v>
      </c>
      <c r="C50" s="23" t="s">
        <v>230</v>
      </c>
      <c r="E50" s="8" t="s">
        <v>59</v>
      </c>
      <c r="F50" s="20" t="n">
        <f aca="false">FALSE()</f>
        <v>0</v>
      </c>
      <c r="G50" s="23" t="s">
        <v>230</v>
      </c>
    </row>
    <row r="51" customFormat="false" ht="16.4" hidden="false" customHeight="false" outlineLevel="0" collapsed="false">
      <c r="A51" s="8" t="s">
        <v>60</v>
      </c>
      <c r="B51" s="30" t="n">
        <f aca="false">TRUE()</f>
        <v>1</v>
      </c>
      <c r="C51" s="17" t="s">
        <v>229</v>
      </c>
      <c r="E51" s="8" t="s">
        <v>60</v>
      </c>
      <c r="F51" s="20" t="n">
        <f aca="false">TRUE()</f>
        <v>1</v>
      </c>
      <c r="G51" s="17" t="s">
        <v>229</v>
      </c>
    </row>
    <row r="52" customFormat="false" ht="16.4" hidden="false" customHeight="false" outlineLevel="0" collapsed="false">
      <c r="A52" s="9" t="s">
        <v>233</v>
      </c>
      <c r="B52" s="30" t="n">
        <f aca="false">TRUE()</f>
        <v>1</v>
      </c>
      <c r="C52" s="17" t="s">
        <v>229</v>
      </c>
      <c r="E52" s="9" t="s">
        <v>233</v>
      </c>
      <c r="F52" s="20" t="n">
        <f aca="false">TRUE()</f>
        <v>1</v>
      </c>
      <c r="G52" s="17" t="s">
        <v>229</v>
      </c>
    </row>
    <row r="53" customFormat="false" ht="16.4" hidden="false" customHeight="false" outlineLevel="0" collapsed="false">
      <c r="A53" s="8" t="s">
        <v>62</v>
      </c>
      <c r="B53" s="30" t="n">
        <f aca="false">TRUE()</f>
        <v>1</v>
      </c>
      <c r="C53" s="17" t="s">
        <v>229</v>
      </c>
      <c r="E53" s="8" t="s">
        <v>62</v>
      </c>
      <c r="F53" s="20" t="n">
        <f aca="false">TRUE()</f>
        <v>1</v>
      </c>
      <c r="G53" s="17" t="s">
        <v>229</v>
      </c>
    </row>
    <row r="54" customFormat="false" ht="14.15" hidden="false" customHeight="false" outlineLevel="0" collapsed="false">
      <c r="A54" s="11" t="s">
        <v>261</v>
      </c>
      <c r="B54" s="30" t="n">
        <f aca="false">FALSE()</f>
        <v>0</v>
      </c>
      <c r="C54" s="26" t="s">
        <v>230</v>
      </c>
      <c r="E54" s="11" t="s">
        <v>261</v>
      </c>
      <c r="F54" s="20" t="n">
        <f aca="false">FALSE()</f>
        <v>0</v>
      </c>
      <c r="G54" s="26" t="s">
        <v>230</v>
      </c>
    </row>
    <row r="55" customFormat="false" ht="16.4" hidden="false" customHeight="false" outlineLevel="0" collapsed="false">
      <c r="A55" s="8" t="s">
        <v>63</v>
      </c>
      <c r="B55" s="30" t="n">
        <f aca="false">TRUE()</f>
        <v>1</v>
      </c>
      <c r="C55" s="23" t="s">
        <v>229</v>
      </c>
      <c r="E55" s="8" t="s">
        <v>63</v>
      </c>
      <c r="F55" s="20" t="n">
        <f aca="false">TRUE()</f>
        <v>1</v>
      </c>
      <c r="G55" s="23" t="s">
        <v>229</v>
      </c>
    </row>
    <row r="56" customFormat="false" ht="16.4" hidden="false" customHeight="false" outlineLevel="0" collapsed="false">
      <c r="A56" s="8" t="s">
        <v>64</v>
      </c>
      <c r="B56" s="30" t="n">
        <f aca="false">FALSE()</f>
        <v>0</v>
      </c>
      <c r="C56" s="17" t="s">
        <v>230</v>
      </c>
      <c r="E56" s="8" t="s">
        <v>64</v>
      </c>
      <c r="F56" s="20" t="n">
        <f aca="false">TRUE()</f>
        <v>1</v>
      </c>
      <c r="G56" s="17" t="s">
        <v>230</v>
      </c>
    </row>
    <row r="57" customFormat="false" ht="23.85" hidden="false" customHeight="false" outlineLevel="0" collapsed="false">
      <c r="A57" s="9" t="s">
        <v>252</v>
      </c>
      <c r="B57" s="30" t="n">
        <f aca="false">TRUE()</f>
        <v>1</v>
      </c>
      <c r="C57" s="26" t="s">
        <v>229</v>
      </c>
      <c r="E57" s="9" t="s">
        <v>252</v>
      </c>
      <c r="F57" s="20" t="n">
        <f aca="false">TRUE()</f>
        <v>1</v>
      </c>
      <c r="G57" s="26" t="s">
        <v>229</v>
      </c>
    </row>
    <row r="58" customFormat="false" ht="23.85" hidden="false" customHeight="false" outlineLevel="0" collapsed="false">
      <c r="A58" s="9" t="s">
        <v>253</v>
      </c>
      <c r="B58" s="30" t="n">
        <f aca="false">FALSE()</f>
        <v>0</v>
      </c>
      <c r="C58" s="26" t="s">
        <v>230</v>
      </c>
      <c r="E58" s="9" t="s">
        <v>253</v>
      </c>
      <c r="F58" s="20" t="n">
        <f aca="false">FALSE()</f>
        <v>0</v>
      </c>
      <c r="G58" s="26" t="s">
        <v>230</v>
      </c>
    </row>
    <row r="59" customFormat="false" ht="23.85" hidden="false" customHeight="false" outlineLevel="0" collapsed="false">
      <c r="A59" s="9" t="s">
        <v>234</v>
      </c>
      <c r="B59" s="30" t="n">
        <f aca="false">TRUE()</f>
        <v>1</v>
      </c>
      <c r="C59" s="17" t="s">
        <v>230</v>
      </c>
      <c r="E59" s="9" t="s">
        <v>234</v>
      </c>
      <c r="F59" s="20" t="n">
        <f aca="false">TRUE()</f>
        <v>1</v>
      </c>
      <c r="G59" s="17" t="s">
        <v>230</v>
      </c>
    </row>
    <row r="60" customFormat="false" ht="23.85" hidden="false" customHeight="false" outlineLevel="0" collapsed="false">
      <c r="A60" s="9" t="s">
        <v>235</v>
      </c>
      <c r="B60" s="30" t="n">
        <f aca="false">TRUE()</f>
        <v>1</v>
      </c>
      <c r="C60" s="17" t="s">
        <v>229</v>
      </c>
      <c r="E60" s="9" t="s">
        <v>235</v>
      </c>
      <c r="F60" s="20" t="n">
        <f aca="false">TRUE()</f>
        <v>1</v>
      </c>
      <c r="G60" s="17" t="s">
        <v>229</v>
      </c>
    </row>
    <row r="61" customFormat="false" ht="23.85" hidden="false" customHeight="false" outlineLevel="0" collapsed="false">
      <c r="A61" s="9" t="s">
        <v>257</v>
      </c>
      <c r="B61" s="30" t="n">
        <f aca="false">TRUE()</f>
        <v>1</v>
      </c>
      <c r="C61" s="26" t="s">
        <v>229</v>
      </c>
      <c r="E61" s="9" t="s">
        <v>257</v>
      </c>
      <c r="F61" s="20" t="n">
        <f aca="false">TRUE()</f>
        <v>1</v>
      </c>
      <c r="G61" s="26" t="s">
        <v>229</v>
      </c>
    </row>
    <row r="62" customFormat="false" ht="16.4" hidden="false" customHeight="false" outlineLevel="0" collapsed="false">
      <c r="A62" s="8" t="s">
        <v>67</v>
      </c>
      <c r="B62" s="30" t="n">
        <f aca="false">TRUE()</f>
        <v>1</v>
      </c>
      <c r="C62" s="17" t="s">
        <v>230</v>
      </c>
      <c r="E62" s="8" t="s">
        <v>67</v>
      </c>
      <c r="F62" s="20" t="n">
        <f aca="false">TRUE()</f>
        <v>1</v>
      </c>
      <c r="G62" s="17" t="s">
        <v>230</v>
      </c>
    </row>
    <row r="63" customFormat="false" ht="16.4" hidden="false" customHeight="false" outlineLevel="0" collapsed="false">
      <c r="A63" s="8" t="s">
        <v>68</v>
      </c>
      <c r="B63" s="30" t="n">
        <f aca="false">TRUE()</f>
        <v>1</v>
      </c>
      <c r="C63" s="23" t="s">
        <v>229</v>
      </c>
      <c r="E63" s="8" t="s">
        <v>68</v>
      </c>
      <c r="F63" s="20" t="n">
        <f aca="false">TRUE()</f>
        <v>1</v>
      </c>
      <c r="G63" s="23" t="s">
        <v>229</v>
      </c>
    </row>
    <row r="64" customFormat="false" ht="16.4" hidden="false" customHeight="false" outlineLevel="0" collapsed="false">
      <c r="A64" s="11" t="s">
        <v>171</v>
      </c>
      <c r="B64" s="30" t="n">
        <f aca="false">TRUE()</f>
        <v>1</v>
      </c>
      <c r="C64" s="26" t="s">
        <v>229</v>
      </c>
      <c r="E64" s="11" t="s">
        <v>171</v>
      </c>
      <c r="F64" s="20" t="n">
        <f aca="false">TRUE()</f>
        <v>1</v>
      </c>
      <c r="G64" s="26" t="s">
        <v>229</v>
      </c>
    </row>
    <row r="65" customFormat="false" ht="16.4" hidden="false" customHeight="false" outlineLevel="0" collapsed="false">
      <c r="A65" s="8" t="s">
        <v>69</v>
      </c>
      <c r="B65" s="30" t="n">
        <f aca="false">TRUE()</f>
        <v>1</v>
      </c>
      <c r="C65" s="17" t="s">
        <v>229</v>
      </c>
      <c r="E65" s="8" t="s">
        <v>69</v>
      </c>
      <c r="F65" s="20" t="n">
        <f aca="false">TRUE()</f>
        <v>1</v>
      </c>
      <c r="G65" s="17" t="s">
        <v>229</v>
      </c>
    </row>
    <row r="66" customFormat="false" ht="23.85" hidden="false" customHeight="false" outlineLevel="0" collapsed="false">
      <c r="A66" s="9" t="s">
        <v>236</v>
      </c>
      <c r="B66" s="30" t="n">
        <f aca="false">TRUE()</f>
        <v>1</v>
      </c>
      <c r="C66" s="17" t="s">
        <v>230</v>
      </c>
      <c r="E66" s="9" t="s">
        <v>236</v>
      </c>
      <c r="F66" s="20" t="n">
        <f aca="false">TRUE()</f>
        <v>1</v>
      </c>
      <c r="G66" s="17" t="s">
        <v>230</v>
      </c>
    </row>
    <row r="67" customFormat="false" ht="16.4" hidden="false" customHeight="false" outlineLevel="0" collapsed="false">
      <c r="A67" s="8" t="s">
        <v>71</v>
      </c>
      <c r="B67" s="30" t="n">
        <f aca="false">TRUE()</f>
        <v>1</v>
      </c>
      <c r="C67" s="17" t="s">
        <v>229</v>
      </c>
      <c r="E67" s="8" t="s">
        <v>71</v>
      </c>
      <c r="F67" s="20" t="n">
        <f aca="false">TRUE()</f>
        <v>1</v>
      </c>
      <c r="G67" s="17" t="s">
        <v>229</v>
      </c>
    </row>
    <row r="68" customFormat="false" ht="16.4" hidden="false" customHeight="false" outlineLevel="0" collapsed="false">
      <c r="A68" s="9" t="s">
        <v>237</v>
      </c>
      <c r="B68" s="30" t="n">
        <f aca="false">TRUE()</f>
        <v>1</v>
      </c>
      <c r="C68" s="17" t="s">
        <v>230</v>
      </c>
      <c r="E68" s="9" t="s">
        <v>237</v>
      </c>
      <c r="F68" s="20" t="n">
        <f aca="false">TRUE()</f>
        <v>1</v>
      </c>
      <c r="G68" s="17" t="s">
        <v>230</v>
      </c>
    </row>
    <row r="69" customFormat="false" ht="23.85" hidden="false" customHeight="false" outlineLevel="0" collapsed="false">
      <c r="A69" s="9" t="s">
        <v>238</v>
      </c>
      <c r="B69" s="30" t="n">
        <f aca="false">TRUE()</f>
        <v>1</v>
      </c>
      <c r="C69" s="17" t="s">
        <v>229</v>
      </c>
      <c r="E69" s="9" t="s">
        <v>238</v>
      </c>
      <c r="F69" s="20" t="n">
        <f aca="false">TRUE()</f>
        <v>1</v>
      </c>
      <c r="G69" s="17" t="s">
        <v>229</v>
      </c>
    </row>
    <row r="70" customFormat="false" ht="23.85" hidden="false" customHeight="false" outlineLevel="0" collapsed="false">
      <c r="A70" s="9" t="s">
        <v>239</v>
      </c>
      <c r="B70" s="30" t="n">
        <f aca="false">TRUE()</f>
        <v>1</v>
      </c>
      <c r="C70" s="17" t="s">
        <v>229</v>
      </c>
      <c r="E70" s="9" t="s">
        <v>239</v>
      </c>
      <c r="F70" s="20" t="n">
        <f aca="false">TRUE()</f>
        <v>1</v>
      </c>
      <c r="G70" s="17" t="s">
        <v>229</v>
      </c>
    </row>
    <row r="71" customFormat="false" ht="16.4" hidden="false" customHeight="false" outlineLevel="0" collapsed="false">
      <c r="A71" s="8" t="s">
        <v>75</v>
      </c>
      <c r="B71" s="30" t="n">
        <f aca="false">FALSE()</f>
        <v>0</v>
      </c>
      <c r="C71" s="17" t="s">
        <v>230</v>
      </c>
      <c r="E71" s="8" t="s">
        <v>75</v>
      </c>
      <c r="F71" s="20" t="n">
        <f aca="false">FALSE()</f>
        <v>0</v>
      </c>
      <c r="G71" s="17" t="s">
        <v>230</v>
      </c>
    </row>
    <row r="72" customFormat="false" ht="23.85" hidden="false" customHeight="false" outlineLevel="0" collapsed="false">
      <c r="A72" s="9" t="s">
        <v>240</v>
      </c>
      <c r="B72" s="30" t="n">
        <f aca="false">TRUE()</f>
        <v>1</v>
      </c>
      <c r="C72" s="17" t="s">
        <v>230</v>
      </c>
      <c r="E72" s="9" t="s">
        <v>240</v>
      </c>
      <c r="F72" s="20" t="n">
        <f aca="false">TRUE()</f>
        <v>1</v>
      </c>
      <c r="G72" s="17" t="s">
        <v>230</v>
      </c>
    </row>
    <row r="73" customFormat="false" ht="16.4" hidden="false" customHeight="false" outlineLevel="0" collapsed="false">
      <c r="A73" s="8" t="s">
        <v>77</v>
      </c>
      <c r="B73" s="30" t="n">
        <f aca="false">TRUE()</f>
        <v>1</v>
      </c>
      <c r="C73" s="17" t="s">
        <v>229</v>
      </c>
      <c r="E73" s="8" t="s">
        <v>77</v>
      </c>
      <c r="F73" s="20" t="n">
        <f aca="false">TRUE()</f>
        <v>1</v>
      </c>
      <c r="G73" s="17" t="s">
        <v>229</v>
      </c>
    </row>
    <row r="74" customFormat="false" ht="16.4" hidden="false" customHeight="false" outlineLevel="0" collapsed="false">
      <c r="A74" s="8" t="s">
        <v>78</v>
      </c>
      <c r="B74" s="30" t="n">
        <f aca="false">TRUE()</f>
        <v>1</v>
      </c>
      <c r="C74" s="23" t="s">
        <v>229</v>
      </c>
      <c r="E74" s="8" t="s">
        <v>78</v>
      </c>
      <c r="F74" s="20" t="n">
        <f aca="false">TRUE()</f>
        <v>1</v>
      </c>
      <c r="G74" s="23" t="s">
        <v>229</v>
      </c>
    </row>
    <row r="75" customFormat="false" ht="35.05" hidden="false" customHeight="false" outlineLevel="0" collapsed="false">
      <c r="A75" s="9" t="s">
        <v>260</v>
      </c>
      <c r="B75" s="30" t="n">
        <f aca="false">FALSE()</f>
        <v>0</v>
      </c>
      <c r="C75" s="26" t="s">
        <v>230</v>
      </c>
      <c r="E75" s="9" t="s">
        <v>260</v>
      </c>
      <c r="F75" s="20" t="n">
        <f aca="false">FALSE()</f>
        <v>0</v>
      </c>
      <c r="G75" s="26" t="s">
        <v>230</v>
      </c>
    </row>
    <row r="76" customFormat="false" ht="16.4" hidden="false" customHeight="false" outlineLevel="0" collapsed="false">
      <c r="A76" s="8" t="s">
        <v>79</v>
      </c>
      <c r="B76" s="30" t="n">
        <f aca="false">TRUE()</f>
        <v>1</v>
      </c>
      <c r="C76" s="17" t="s">
        <v>229</v>
      </c>
      <c r="E76" s="8" t="s">
        <v>79</v>
      </c>
      <c r="F76" s="20" t="n">
        <f aca="false">FALSE()</f>
        <v>0</v>
      </c>
      <c r="G76" s="17" t="s">
        <v>229</v>
      </c>
    </row>
    <row r="77" customFormat="false" ht="16.4" hidden="false" customHeight="false" outlineLevel="0" collapsed="false">
      <c r="A77" s="8" t="s">
        <v>80</v>
      </c>
      <c r="B77" s="30" t="n">
        <f aca="false">TRUE()</f>
        <v>1</v>
      </c>
      <c r="C77" s="17" t="s">
        <v>229</v>
      </c>
      <c r="E77" s="8" t="s">
        <v>80</v>
      </c>
      <c r="F77" s="20" t="n">
        <f aca="false">FALSE()</f>
        <v>0</v>
      </c>
      <c r="G77" s="17" t="s">
        <v>229</v>
      </c>
    </row>
    <row r="78" customFormat="false" ht="16.4" hidden="false" customHeight="false" outlineLevel="0" collapsed="false">
      <c r="A78" s="8" t="s">
        <v>81</v>
      </c>
      <c r="B78" s="30" t="n">
        <f aca="false">TRUE()</f>
        <v>1</v>
      </c>
      <c r="C78" s="17" t="s">
        <v>229</v>
      </c>
      <c r="E78" s="8" t="s">
        <v>81</v>
      </c>
      <c r="F78" s="20" t="n">
        <f aca="false">TRUE()</f>
        <v>1</v>
      </c>
      <c r="G78" s="17" t="s">
        <v>229</v>
      </c>
    </row>
    <row r="79" customFormat="false" ht="16.4" hidden="false" customHeight="false" outlineLevel="0" collapsed="false">
      <c r="A79" s="8" t="s">
        <v>82</v>
      </c>
      <c r="B79" s="30" t="n">
        <f aca="false">TRUE()</f>
        <v>1</v>
      </c>
      <c r="C79" s="17" t="s">
        <v>229</v>
      </c>
      <c r="E79" s="8" t="s">
        <v>82</v>
      </c>
      <c r="F79" s="20" t="n">
        <f aca="false">TRUE()</f>
        <v>1</v>
      </c>
      <c r="G79" s="17" t="s">
        <v>229</v>
      </c>
    </row>
    <row r="80" customFormat="false" ht="16.4" hidden="false" customHeight="false" outlineLevel="0" collapsed="false">
      <c r="A80" s="8" t="s">
        <v>83</v>
      </c>
      <c r="B80" s="30" t="n">
        <f aca="false">TRUE()</f>
        <v>1</v>
      </c>
      <c r="C80" s="17" t="s">
        <v>229</v>
      </c>
      <c r="E80" s="8" t="s">
        <v>83</v>
      </c>
      <c r="F80" s="20" t="n">
        <f aca="false">TRUE()</f>
        <v>1</v>
      </c>
      <c r="G80" s="17" t="s">
        <v>229</v>
      </c>
    </row>
    <row r="81" customFormat="false" ht="16.4" hidden="false" customHeight="false" outlineLevel="0" collapsed="false">
      <c r="A81" s="8" t="s">
        <v>84</v>
      </c>
      <c r="B81" s="30" t="n">
        <f aca="false">TRUE()</f>
        <v>1</v>
      </c>
      <c r="C81" s="23" t="s">
        <v>230</v>
      </c>
      <c r="E81" s="8" t="s">
        <v>84</v>
      </c>
      <c r="F81" s="20" t="n">
        <f aca="false">TRUE()</f>
        <v>1</v>
      </c>
      <c r="G81" s="23" t="s">
        <v>230</v>
      </c>
    </row>
    <row r="82" customFormat="false" ht="16.4" hidden="false" customHeight="false" outlineLevel="0" collapsed="false">
      <c r="A82" s="8" t="s">
        <v>152</v>
      </c>
      <c r="B82" s="30" t="n">
        <f aca="false">TRUE()</f>
        <v>1</v>
      </c>
      <c r="C82" s="23" t="s">
        <v>229</v>
      </c>
      <c r="E82" s="8" t="s">
        <v>152</v>
      </c>
      <c r="F82" s="20" t="n">
        <f aca="false">TRUE()</f>
        <v>1</v>
      </c>
      <c r="G82" s="23" t="s">
        <v>229</v>
      </c>
    </row>
    <row r="83" customFormat="false" ht="16.4" hidden="false" customHeight="false" outlineLevel="0" collapsed="false">
      <c r="A83" s="8" t="s">
        <v>85</v>
      </c>
      <c r="B83" s="30" t="n">
        <f aca="false">TRUE()</f>
        <v>1</v>
      </c>
      <c r="C83" s="17" t="s">
        <v>229</v>
      </c>
      <c r="E83" s="8" t="s">
        <v>85</v>
      </c>
      <c r="F83" s="20" t="n">
        <f aca="false">FALSE()</f>
        <v>0</v>
      </c>
      <c r="G83" s="17" t="s">
        <v>229</v>
      </c>
    </row>
    <row r="84" customFormat="false" ht="16.4" hidden="false" customHeight="false" outlineLevel="0" collapsed="false">
      <c r="A84" s="8" t="s">
        <v>86</v>
      </c>
      <c r="B84" s="30" t="n">
        <f aca="false">TRUE()</f>
        <v>1</v>
      </c>
      <c r="C84" s="17" t="s">
        <v>229</v>
      </c>
      <c r="E84" s="8" t="s">
        <v>86</v>
      </c>
      <c r="F84" s="20" t="n">
        <f aca="false">FALSE()</f>
        <v>0</v>
      </c>
      <c r="G84" s="17" t="s">
        <v>229</v>
      </c>
    </row>
    <row r="85" customFormat="false" ht="23.85" hidden="false" customHeight="false" outlineLevel="0" collapsed="false">
      <c r="A85" s="9" t="s">
        <v>256</v>
      </c>
      <c r="B85" s="30" t="n">
        <f aca="false">FALSE()</f>
        <v>0</v>
      </c>
      <c r="C85" s="26" t="s">
        <v>230</v>
      </c>
      <c r="E85" s="9" t="s">
        <v>256</v>
      </c>
      <c r="F85" s="20" t="n">
        <f aca="false">FALSE()</f>
        <v>0</v>
      </c>
      <c r="G85" s="26" t="s">
        <v>230</v>
      </c>
    </row>
    <row r="86" customFormat="false" ht="23.85" hidden="false" customHeight="false" outlineLevel="0" collapsed="false">
      <c r="A86" s="9" t="s">
        <v>241</v>
      </c>
      <c r="B86" s="30" t="n">
        <f aca="false">TRUE()</f>
        <v>1</v>
      </c>
      <c r="C86" s="17" t="s">
        <v>229</v>
      </c>
      <c r="E86" s="9" t="s">
        <v>241</v>
      </c>
      <c r="F86" s="20" t="n">
        <f aca="false">TRUE()</f>
        <v>1</v>
      </c>
      <c r="G86" s="17" t="s">
        <v>229</v>
      </c>
    </row>
    <row r="87" customFormat="false" ht="14.15" hidden="false" customHeight="false" outlineLevel="0" collapsed="false">
      <c r="A87" s="11" t="s">
        <v>175</v>
      </c>
      <c r="B87" s="30" t="n">
        <f aca="false">FALSE()</f>
        <v>0</v>
      </c>
      <c r="C87" s="26" t="s">
        <v>230</v>
      </c>
      <c r="E87" s="11" t="s">
        <v>175</v>
      </c>
      <c r="F87" s="20" t="n">
        <f aca="false">FALSE()</f>
        <v>0</v>
      </c>
      <c r="G87" s="26" t="s">
        <v>230</v>
      </c>
    </row>
    <row r="88" customFormat="false" ht="16.4" hidden="false" customHeight="false" outlineLevel="0" collapsed="false">
      <c r="A88" s="8" t="s">
        <v>88</v>
      </c>
      <c r="B88" s="30" t="n">
        <f aca="false">FALSE()</f>
        <v>0</v>
      </c>
      <c r="C88" s="17" t="s">
        <v>230</v>
      </c>
      <c r="E88" s="8" t="s">
        <v>88</v>
      </c>
      <c r="F88" s="20" t="n">
        <f aca="false">FALSE()</f>
        <v>0</v>
      </c>
      <c r="G88" s="17" t="s">
        <v>230</v>
      </c>
    </row>
    <row r="89" customFormat="false" ht="16.4" hidden="false" customHeight="false" outlineLevel="0" collapsed="false">
      <c r="A89" s="8" t="s">
        <v>89</v>
      </c>
      <c r="B89" s="30" t="n">
        <f aca="false">TRUE()</f>
        <v>1</v>
      </c>
      <c r="C89" s="17" t="s">
        <v>229</v>
      </c>
      <c r="E89" s="8" t="s">
        <v>89</v>
      </c>
      <c r="F89" s="20" t="n">
        <f aca="false">TRUE()</f>
        <v>1</v>
      </c>
      <c r="G89" s="17" t="s">
        <v>229</v>
      </c>
    </row>
    <row r="90" customFormat="false" ht="23.85" hidden="false" customHeight="false" outlineLevel="0" collapsed="false">
      <c r="A90" s="9" t="s">
        <v>242</v>
      </c>
      <c r="B90" s="30" t="n">
        <f aca="false">TRUE()</f>
        <v>1</v>
      </c>
      <c r="C90" s="17" t="s">
        <v>230</v>
      </c>
      <c r="E90" s="9" t="s">
        <v>242</v>
      </c>
      <c r="F90" s="20" t="n">
        <f aca="false">TRUE()</f>
        <v>1</v>
      </c>
      <c r="G90" s="17" t="s">
        <v>230</v>
      </c>
    </row>
    <row r="91" customFormat="false" ht="16.4" hidden="false" customHeight="false" outlineLevel="0" collapsed="false">
      <c r="A91" s="8" t="s">
        <v>91</v>
      </c>
      <c r="B91" s="30" t="n">
        <f aca="false">FALSE()</f>
        <v>0</v>
      </c>
      <c r="C91" s="17" t="s">
        <v>230</v>
      </c>
      <c r="E91" s="8" t="s">
        <v>91</v>
      </c>
      <c r="F91" s="20" t="n">
        <f aca="false">FALSE()</f>
        <v>0</v>
      </c>
      <c r="G91" s="17" t="s">
        <v>230</v>
      </c>
    </row>
    <row r="92" customFormat="false" ht="14.15" hidden="false" customHeight="false" outlineLevel="0" collapsed="false">
      <c r="A92" s="11" t="s">
        <v>163</v>
      </c>
      <c r="B92" s="30" t="n">
        <f aca="false">FALSE()</f>
        <v>0</v>
      </c>
      <c r="C92" s="26" t="s">
        <v>230</v>
      </c>
      <c r="E92" s="11" t="s">
        <v>163</v>
      </c>
      <c r="F92" s="20" t="n">
        <f aca="false">FALSE()</f>
        <v>0</v>
      </c>
      <c r="G92" s="26" t="s">
        <v>230</v>
      </c>
    </row>
    <row r="93" customFormat="false" ht="16.4" hidden="false" customHeight="false" outlineLevel="0" collapsed="false">
      <c r="A93" s="8" t="s">
        <v>92</v>
      </c>
      <c r="B93" s="30" t="n">
        <f aca="false">TRUE()</f>
        <v>1</v>
      </c>
      <c r="C93" s="23" t="s">
        <v>229</v>
      </c>
      <c r="E93" s="8" t="s">
        <v>92</v>
      </c>
      <c r="F93" s="20" t="n">
        <f aca="false">TRUE()</f>
        <v>1</v>
      </c>
      <c r="G93" s="23" t="s">
        <v>229</v>
      </c>
    </row>
    <row r="94" customFormat="false" ht="16.4" hidden="false" customHeight="false" outlineLevel="0" collapsed="false">
      <c r="A94" s="11" t="s">
        <v>192</v>
      </c>
      <c r="B94" s="30" t="n">
        <f aca="false">TRUE()</f>
        <v>1</v>
      </c>
      <c r="C94" s="26" t="s">
        <v>229</v>
      </c>
      <c r="E94" s="11" t="s">
        <v>192</v>
      </c>
      <c r="F94" s="20" t="n">
        <f aca="false">TRUE()</f>
        <v>1</v>
      </c>
      <c r="G94" s="26" t="s">
        <v>229</v>
      </c>
    </row>
    <row r="95" customFormat="false" ht="16.4" hidden="false" customHeight="false" outlineLevel="0" collapsed="false">
      <c r="A95" s="8" t="s">
        <v>93</v>
      </c>
      <c r="B95" s="30" t="n">
        <f aca="false">TRUE()</f>
        <v>1</v>
      </c>
      <c r="C95" s="17" t="s">
        <v>229</v>
      </c>
      <c r="E95" s="8" t="s">
        <v>93</v>
      </c>
      <c r="F95" s="20" t="n">
        <f aca="false">TRUE()</f>
        <v>1</v>
      </c>
      <c r="G95" s="17" t="s">
        <v>229</v>
      </c>
    </row>
    <row r="96" customFormat="false" ht="16.4" hidden="false" customHeight="false" outlineLevel="0" collapsed="false">
      <c r="A96" s="11" t="s">
        <v>154</v>
      </c>
      <c r="B96" s="30" t="n">
        <f aca="false">TRUE()</f>
        <v>1</v>
      </c>
      <c r="C96" s="26" t="s">
        <v>229</v>
      </c>
      <c r="E96" s="11" t="s">
        <v>154</v>
      </c>
      <c r="F96" s="20" t="n">
        <f aca="false">TRUE()</f>
        <v>1</v>
      </c>
      <c r="G96" s="26" t="s">
        <v>229</v>
      </c>
    </row>
    <row r="97" customFormat="false" ht="16.4" hidden="false" customHeight="false" outlineLevel="0" collapsed="false">
      <c r="A97" s="8" t="s">
        <v>95</v>
      </c>
      <c r="B97" s="30" t="n">
        <f aca="false">TRUE()</f>
        <v>1</v>
      </c>
      <c r="C97" s="23" t="s">
        <v>229</v>
      </c>
      <c r="E97" s="8" t="s">
        <v>95</v>
      </c>
      <c r="F97" s="20" t="n">
        <f aca="false">TRUE()</f>
        <v>1</v>
      </c>
      <c r="G97" s="23" t="s">
        <v>229</v>
      </c>
    </row>
    <row r="98" customFormat="false" ht="16.4" hidden="false" customHeight="false" outlineLevel="0" collapsed="false">
      <c r="A98" s="8" t="s">
        <v>94</v>
      </c>
      <c r="B98" s="30" t="n">
        <f aca="false">TRUE()</f>
        <v>1</v>
      </c>
      <c r="C98" s="17" t="s">
        <v>229</v>
      </c>
      <c r="E98" s="8" t="s">
        <v>94</v>
      </c>
      <c r="F98" s="20" t="n">
        <f aca="false">FALSE()</f>
        <v>0</v>
      </c>
      <c r="G98" s="17" t="s">
        <v>229</v>
      </c>
    </row>
    <row r="99" customFormat="false" ht="14.15" hidden="false" customHeight="false" outlineLevel="0" collapsed="false">
      <c r="A99" s="11" t="s">
        <v>153</v>
      </c>
      <c r="B99" s="30" t="n">
        <f aca="false">FALSE()</f>
        <v>0</v>
      </c>
      <c r="C99" s="26" t="s">
        <v>230</v>
      </c>
      <c r="E99" s="11" t="s">
        <v>153</v>
      </c>
      <c r="F99" s="20" t="n">
        <f aca="false">FALSE()</f>
        <v>0</v>
      </c>
      <c r="G99" s="26" t="s">
        <v>230</v>
      </c>
    </row>
    <row r="100" customFormat="false" ht="16.4" hidden="false" customHeight="false" outlineLevel="0" collapsed="false">
      <c r="A100" s="8" t="s">
        <v>96</v>
      </c>
      <c r="B100" s="30" t="n">
        <f aca="false">TRUE()</f>
        <v>1</v>
      </c>
      <c r="C100" s="17" t="s">
        <v>230</v>
      </c>
      <c r="E100" s="8" t="s">
        <v>96</v>
      </c>
      <c r="F100" s="20" t="n">
        <f aca="false">TRUE()</f>
        <v>1</v>
      </c>
      <c r="G100" s="17" t="s">
        <v>230</v>
      </c>
    </row>
    <row r="101" customFormat="false" ht="16.4" hidden="false" customHeight="false" outlineLevel="0" collapsed="false">
      <c r="A101" s="8" t="s">
        <v>97</v>
      </c>
      <c r="B101" s="30" t="n">
        <f aca="false">FALSE()</f>
        <v>0</v>
      </c>
      <c r="C101" s="17" t="s">
        <v>230</v>
      </c>
      <c r="E101" s="8" t="s">
        <v>97</v>
      </c>
      <c r="F101" s="20" t="n">
        <f aca="false">FALSE()</f>
        <v>0</v>
      </c>
      <c r="G101" s="17" t="s">
        <v>230</v>
      </c>
    </row>
    <row r="102" customFormat="false" ht="16.4" hidden="false" customHeight="false" outlineLevel="0" collapsed="false">
      <c r="A102" s="8" t="s">
        <v>98</v>
      </c>
      <c r="B102" s="30" t="n">
        <f aca="false">FALSE()</f>
        <v>0</v>
      </c>
      <c r="C102" s="17" t="s">
        <v>230</v>
      </c>
      <c r="E102" s="8" t="s">
        <v>98</v>
      </c>
      <c r="F102" s="20" t="n">
        <f aca="false">FALSE()</f>
        <v>0</v>
      </c>
      <c r="G102" s="17" t="s">
        <v>230</v>
      </c>
    </row>
    <row r="103" customFormat="false" ht="16.4" hidden="false" customHeight="false" outlineLevel="0" collapsed="false">
      <c r="A103" s="8" t="s">
        <v>99</v>
      </c>
      <c r="B103" s="30" t="n">
        <f aca="false">TRUE()</f>
        <v>1</v>
      </c>
      <c r="C103" s="17" t="s">
        <v>229</v>
      </c>
      <c r="E103" s="8" t="s">
        <v>99</v>
      </c>
      <c r="F103" s="20" t="n">
        <f aca="false">TRUE()</f>
        <v>1</v>
      </c>
      <c r="G103" s="17" t="s">
        <v>229</v>
      </c>
    </row>
    <row r="104" customFormat="false" ht="16.4" hidden="false" customHeight="false" outlineLevel="0" collapsed="false">
      <c r="A104" s="8" t="s">
        <v>100</v>
      </c>
      <c r="B104" s="30" t="n">
        <f aca="false">FALSE()</f>
        <v>0</v>
      </c>
      <c r="C104" s="17" t="s">
        <v>230</v>
      </c>
      <c r="E104" s="8" t="s">
        <v>100</v>
      </c>
      <c r="F104" s="20" t="n">
        <f aca="false">FALSE()</f>
        <v>0</v>
      </c>
      <c r="G104" s="17" t="s">
        <v>230</v>
      </c>
    </row>
    <row r="105" customFormat="false" ht="16.4" hidden="false" customHeight="false" outlineLevel="0" collapsed="false">
      <c r="A105" s="8" t="s">
        <v>101</v>
      </c>
      <c r="B105" s="30" t="n">
        <f aca="false">TRUE()</f>
        <v>1</v>
      </c>
      <c r="C105" s="17" t="s">
        <v>229</v>
      </c>
      <c r="E105" s="8" t="s">
        <v>101</v>
      </c>
      <c r="F105" s="20" t="n">
        <f aca="false">TRUE()</f>
        <v>1</v>
      </c>
      <c r="G105" s="17" t="s">
        <v>229</v>
      </c>
    </row>
    <row r="106" customFormat="false" ht="23.85" hidden="false" customHeight="false" outlineLevel="0" collapsed="false">
      <c r="A106" s="9" t="s">
        <v>255</v>
      </c>
      <c r="B106" s="30" t="n">
        <f aca="false">FALSE()</f>
        <v>0</v>
      </c>
      <c r="C106" s="26" t="s">
        <v>230</v>
      </c>
      <c r="E106" s="9" t="s">
        <v>255</v>
      </c>
      <c r="F106" s="20" t="n">
        <f aca="false">FALSE()</f>
        <v>0</v>
      </c>
      <c r="G106" s="26" t="s">
        <v>230</v>
      </c>
    </row>
    <row r="107" customFormat="false" ht="16.4" hidden="false" customHeight="false" outlineLevel="0" collapsed="false">
      <c r="A107" s="8" t="s">
        <v>102</v>
      </c>
      <c r="B107" s="30" t="n">
        <f aca="false">TRUE()</f>
        <v>1</v>
      </c>
      <c r="C107" s="23" t="s">
        <v>229</v>
      </c>
      <c r="E107" s="8" t="s">
        <v>102</v>
      </c>
      <c r="F107" s="20" t="n">
        <f aca="false">TRUE()</f>
        <v>1</v>
      </c>
      <c r="G107" s="23" t="s">
        <v>229</v>
      </c>
    </row>
    <row r="108" customFormat="false" ht="16.4" hidden="false" customHeight="false" outlineLevel="0" collapsed="false">
      <c r="A108" s="8" t="s">
        <v>103</v>
      </c>
      <c r="B108" s="30" t="n">
        <f aca="false">TRUE()</f>
        <v>1</v>
      </c>
      <c r="C108" s="23" t="s">
        <v>229</v>
      </c>
      <c r="E108" s="8" t="s">
        <v>103</v>
      </c>
      <c r="F108" s="20" t="n">
        <f aca="false">TRUE()</f>
        <v>1</v>
      </c>
      <c r="G108" s="23" t="s">
        <v>229</v>
      </c>
    </row>
    <row r="109" customFormat="false" ht="16.4" hidden="false" customHeight="false" outlineLevel="0" collapsed="false">
      <c r="A109" s="8" t="s">
        <v>104</v>
      </c>
      <c r="B109" s="30" t="n">
        <f aca="false">TRUE()</f>
        <v>1</v>
      </c>
      <c r="C109" s="17" t="s">
        <v>229</v>
      </c>
      <c r="E109" s="8" t="s">
        <v>104</v>
      </c>
      <c r="F109" s="20" t="n">
        <f aca="false">FALSE()</f>
        <v>0</v>
      </c>
      <c r="G109" s="17" t="s">
        <v>229</v>
      </c>
    </row>
    <row r="110" customFormat="false" ht="16.4" hidden="false" customHeight="false" outlineLevel="0" collapsed="false">
      <c r="A110" s="12" t="s">
        <v>198</v>
      </c>
      <c r="B110" s="31" t="n">
        <f aca="false">TRUE()</f>
        <v>1</v>
      </c>
      <c r="C110" s="26" t="s">
        <v>229</v>
      </c>
      <c r="E110" s="12" t="s">
        <v>198</v>
      </c>
      <c r="F110" s="20" t="n">
        <f aca="false">TRUE()</f>
        <v>1</v>
      </c>
      <c r="G110" s="26" t="s">
        <v>229</v>
      </c>
    </row>
    <row r="111" customFormat="false" ht="35.05" hidden="false" customHeight="false" outlineLevel="0" collapsed="false">
      <c r="A111" s="9" t="s">
        <v>258</v>
      </c>
      <c r="B111" s="30" t="n">
        <f aca="false">FALSE()</f>
        <v>0</v>
      </c>
      <c r="C111" s="26" t="s">
        <v>230</v>
      </c>
      <c r="E111" s="9" t="s">
        <v>258</v>
      </c>
      <c r="F111" s="20" t="n">
        <f aca="false">FALSE()</f>
        <v>0</v>
      </c>
      <c r="G111" s="26" t="s">
        <v>230</v>
      </c>
    </row>
    <row r="112" customFormat="false" ht="14.15" hidden="false" customHeight="false" outlineLevel="0" collapsed="false">
      <c r="A112" s="11" t="s">
        <v>187</v>
      </c>
      <c r="B112" s="30" t="n">
        <f aca="false">FALSE()</f>
        <v>0</v>
      </c>
      <c r="C112" s="26" t="s">
        <v>230</v>
      </c>
      <c r="E112" s="11" t="s">
        <v>187</v>
      </c>
      <c r="F112" s="20" t="n">
        <f aca="false">FALSE()</f>
        <v>0</v>
      </c>
      <c r="G112" s="26" t="s">
        <v>230</v>
      </c>
    </row>
    <row r="113" customFormat="false" ht="16.4" hidden="false" customHeight="false" outlineLevel="0" collapsed="false">
      <c r="A113" s="8" t="s">
        <v>105</v>
      </c>
      <c r="B113" s="30" t="n">
        <f aca="false">TRUE()</f>
        <v>1</v>
      </c>
      <c r="C113" s="17" t="s">
        <v>229</v>
      </c>
      <c r="E113" s="8" t="s">
        <v>105</v>
      </c>
      <c r="F113" s="20" t="n">
        <f aca="false">TRUE()</f>
        <v>1</v>
      </c>
      <c r="G113" s="17" t="s">
        <v>229</v>
      </c>
    </row>
    <row r="114" customFormat="false" ht="16.4" hidden="false" customHeight="false" outlineLevel="0" collapsed="false">
      <c r="A114" s="8" t="s">
        <v>106</v>
      </c>
      <c r="B114" s="30" t="n">
        <f aca="false">TRUE()</f>
        <v>1</v>
      </c>
      <c r="C114" s="17" t="s">
        <v>229</v>
      </c>
      <c r="E114" s="8" t="s">
        <v>106</v>
      </c>
      <c r="F114" s="20" t="n">
        <f aca="false">TRUE()</f>
        <v>1</v>
      </c>
      <c r="G114" s="17" t="s">
        <v>229</v>
      </c>
    </row>
    <row r="115" customFormat="false" ht="23.85" hidden="false" customHeight="false" outlineLevel="0" collapsed="false">
      <c r="A115" s="9" t="s">
        <v>254</v>
      </c>
      <c r="B115" s="30" t="n">
        <f aca="false">TRUE()</f>
        <v>1</v>
      </c>
      <c r="C115" s="26" t="s">
        <v>229</v>
      </c>
      <c r="E115" s="9" t="s">
        <v>254</v>
      </c>
      <c r="F115" s="20" t="n">
        <f aca="false">TRUE()</f>
        <v>1</v>
      </c>
      <c r="G115" s="26" t="s">
        <v>229</v>
      </c>
    </row>
    <row r="116" customFormat="false" ht="16.4" hidden="false" customHeight="false" outlineLevel="0" collapsed="false">
      <c r="A116" s="8" t="s">
        <v>107</v>
      </c>
      <c r="B116" s="30" t="n">
        <f aca="false">TRUE()</f>
        <v>1</v>
      </c>
      <c r="C116" s="17" t="s">
        <v>229</v>
      </c>
      <c r="E116" s="8" t="s">
        <v>107</v>
      </c>
      <c r="F116" s="20" t="n">
        <f aca="false">TRUE()</f>
        <v>1</v>
      </c>
      <c r="G116" s="17" t="s">
        <v>229</v>
      </c>
    </row>
    <row r="117" customFormat="false" ht="16.4" hidden="false" customHeight="false" outlineLevel="0" collapsed="false">
      <c r="A117" s="8" t="s">
        <v>108</v>
      </c>
      <c r="B117" s="30" t="n">
        <f aca="false">TRUE()</f>
        <v>1</v>
      </c>
      <c r="C117" s="17" t="s">
        <v>229</v>
      </c>
      <c r="E117" s="8" t="s">
        <v>108</v>
      </c>
      <c r="F117" s="20" t="n">
        <f aca="false">TRUE()</f>
        <v>1</v>
      </c>
      <c r="G117" s="17" t="s">
        <v>229</v>
      </c>
    </row>
    <row r="118" customFormat="false" ht="16.4" hidden="false" customHeight="false" outlineLevel="0" collapsed="false">
      <c r="A118" s="12" t="s">
        <v>199</v>
      </c>
      <c r="B118" s="31" t="n">
        <f aca="false">TRUE()</f>
        <v>1</v>
      </c>
      <c r="C118" s="26" t="s">
        <v>229</v>
      </c>
      <c r="E118" s="12" t="s">
        <v>199</v>
      </c>
      <c r="F118" s="1" t="s">
        <v>262</v>
      </c>
      <c r="G118" s="26" t="s">
        <v>229</v>
      </c>
    </row>
    <row r="119" customFormat="false" ht="23.85" hidden="false" customHeight="false" outlineLevel="0" collapsed="false">
      <c r="A119" s="9" t="s">
        <v>248</v>
      </c>
      <c r="B119" s="30" t="n">
        <f aca="false">TRUE()</f>
        <v>1</v>
      </c>
      <c r="C119" s="26" t="s">
        <v>229</v>
      </c>
      <c r="E119" s="9" t="s">
        <v>248</v>
      </c>
      <c r="F119" s="20" t="n">
        <f aca="false">TRUE()</f>
        <v>1</v>
      </c>
      <c r="G119" s="26" t="s">
        <v>229</v>
      </c>
    </row>
    <row r="120" customFormat="false" ht="16.4" hidden="false" customHeight="false" outlineLevel="0" collapsed="false">
      <c r="A120" s="8" t="s">
        <v>109</v>
      </c>
      <c r="B120" s="30" t="n">
        <f aca="false">TRUE()</f>
        <v>1</v>
      </c>
      <c r="C120" s="23" t="s">
        <v>229</v>
      </c>
      <c r="E120" s="8" t="s">
        <v>109</v>
      </c>
      <c r="F120" s="20" t="n">
        <f aca="false">TRUE()</f>
        <v>1</v>
      </c>
      <c r="G120" s="23" t="s">
        <v>229</v>
      </c>
    </row>
    <row r="121" customFormat="false" ht="16.4" hidden="false" customHeight="false" outlineLevel="0" collapsed="false">
      <c r="A121" s="8" t="s">
        <v>110</v>
      </c>
      <c r="B121" s="30" t="n">
        <f aca="false">TRUE()</f>
        <v>1</v>
      </c>
      <c r="C121" s="17" t="s">
        <v>230</v>
      </c>
      <c r="E121" s="8" t="s">
        <v>110</v>
      </c>
      <c r="F121" s="20" t="n">
        <f aca="false">TRUE()</f>
        <v>1</v>
      </c>
      <c r="G121" s="17" t="s">
        <v>230</v>
      </c>
    </row>
    <row r="122" customFormat="false" ht="16.4" hidden="false" customHeight="false" outlineLevel="0" collapsed="false">
      <c r="A122" s="8" t="s">
        <v>111</v>
      </c>
      <c r="B122" s="30" t="n">
        <f aca="false">FALSE()</f>
        <v>0</v>
      </c>
      <c r="C122" s="17" t="s">
        <v>230</v>
      </c>
      <c r="E122" s="8" t="s">
        <v>111</v>
      </c>
      <c r="F122" s="20" t="n">
        <f aca="false">FALSE()</f>
        <v>0</v>
      </c>
      <c r="G122" s="17" t="s">
        <v>230</v>
      </c>
    </row>
    <row r="123" customFormat="false" ht="16.4" hidden="false" customHeight="false" outlineLevel="0" collapsed="false">
      <c r="A123" s="8" t="s">
        <v>112</v>
      </c>
      <c r="B123" s="30" t="n">
        <f aca="false">TRUE()</f>
        <v>1</v>
      </c>
      <c r="C123" s="23" t="s">
        <v>229</v>
      </c>
      <c r="E123" s="8" t="s">
        <v>112</v>
      </c>
      <c r="F123" s="20" t="n">
        <f aca="false">FALSE()</f>
        <v>0</v>
      </c>
      <c r="G123" s="23" t="s">
        <v>229</v>
      </c>
    </row>
    <row r="124" customFormat="false" ht="16.4" hidden="false" customHeight="false" outlineLevel="0" collapsed="false">
      <c r="A124" s="8" t="s">
        <v>113</v>
      </c>
      <c r="B124" s="30" t="n">
        <f aca="false">FALSE()</f>
        <v>0</v>
      </c>
      <c r="C124" s="17" t="s">
        <v>230</v>
      </c>
      <c r="E124" s="8" t="s">
        <v>113</v>
      </c>
      <c r="F124" s="20" t="n">
        <f aca="false">FALSE()</f>
        <v>0</v>
      </c>
      <c r="G124" s="17" t="s">
        <v>230</v>
      </c>
    </row>
    <row r="125" customFormat="false" ht="23.85" hidden="false" customHeight="false" outlineLevel="0" collapsed="false">
      <c r="A125" s="9" t="s">
        <v>243</v>
      </c>
      <c r="B125" s="30" t="n">
        <f aca="false">TRUE()</f>
        <v>1</v>
      </c>
      <c r="C125" s="17" t="s">
        <v>229</v>
      </c>
      <c r="E125" s="9" t="s">
        <v>243</v>
      </c>
      <c r="F125" s="20" t="n">
        <f aca="false">TRUE()</f>
        <v>1</v>
      </c>
      <c r="G125" s="17" t="s">
        <v>229</v>
      </c>
    </row>
    <row r="126" customFormat="false" ht="46.25" hidden="false" customHeight="false" outlineLevel="0" collapsed="false">
      <c r="A126" s="9" t="s">
        <v>259</v>
      </c>
      <c r="B126" s="30" t="n">
        <f aca="false">TRUE()</f>
        <v>1</v>
      </c>
      <c r="C126" s="26" t="s">
        <v>229</v>
      </c>
      <c r="E126" s="9" t="s">
        <v>259</v>
      </c>
      <c r="F126" s="20" t="n">
        <f aca="false">TRUE()</f>
        <v>1</v>
      </c>
      <c r="G126" s="26" t="s">
        <v>229</v>
      </c>
    </row>
    <row r="127" customFormat="false" ht="16.4" hidden="false" customHeight="false" outlineLevel="0" collapsed="false">
      <c r="A127" s="8" t="s">
        <v>115</v>
      </c>
      <c r="B127" s="30" t="n">
        <f aca="false">TRUE()</f>
        <v>1</v>
      </c>
      <c r="C127" s="17" t="s">
        <v>229</v>
      </c>
      <c r="E127" s="8" t="s">
        <v>115</v>
      </c>
      <c r="F127" s="20" t="n">
        <f aca="false">TRUE()</f>
        <v>1</v>
      </c>
      <c r="G127" s="17" t="s">
        <v>229</v>
      </c>
    </row>
    <row r="128" customFormat="false" ht="16.4" hidden="false" customHeight="false" outlineLevel="0" collapsed="false">
      <c r="A128" s="8" t="s">
        <v>116</v>
      </c>
      <c r="B128" s="30" t="n">
        <f aca="false">FALSE()</f>
        <v>0</v>
      </c>
      <c r="C128" s="17" t="s">
        <v>230</v>
      </c>
      <c r="E128" s="8" t="s">
        <v>116</v>
      </c>
      <c r="F128" s="20" t="n">
        <f aca="false">FALSE()</f>
        <v>0</v>
      </c>
      <c r="G128" s="17" t="s">
        <v>230</v>
      </c>
    </row>
    <row r="129" customFormat="false" ht="16.4" hidden="false" customHeight="false" outlineLevel="0" collapsed="false">
      <c r="A129" s="8" t="s">
        <v>117</v>
      </c>
      <c r="B129" s="30" t="n">
        <f aca="false">FALSE()</f>
        <v>0</v>
      </c>
      <c r="C129" s="17" t="s">
        <v>230</v>
      </c>
      <c r="E129" s="8" t="s">
        <v>117</v>
      </c>
      <c r="F129" s="20" t="n">
        <f aca="false">FALSE()</f>
        <v>0</v>
      </c>
      <c r="G129" s="17" t="s">
        <v>230</v>
      </c>
    </row>
    <row r="130" customFormat="false" ht="16.4" hidden="false" customHeight="false" outlineLevel="0" collapsed="false">
      <c r="A130" s="8" t="s">
        <v>118</v>
      </c>
      <c r="B130" s="30" t="n">
        <f aca="false">TRUE()</f>
        <v>1</v>
      </c>
      <c r="C130" s="17" t="s">
        <v>229</v>
      </c>
      <c r="E130" s="8" t="s">
        <v>118</v>
      </c>
      <c r="F130" s="20" t="n">
        <f aca="false">TRUE()</f>
        <v>1</v>
      </c>
      <c r="G130" s="17" t="s">
        <v>229</v>
      </c>
    </row>
    <row r="131" customFormat="false" ht="16.4" hidden="false" customHeight="false" outlineLevel="0" collapsed="false">
      <c r="A131" s="8" t="s">
        <v>119</v>
      </c>
      <c r="B131" s="30" t="n">
        <f aca="false">TRUE()</f>
        <v>1</v>
      </c>
      <c r="C131" s="17" t="s">
        <v>229</v>
      </c>
      <c r="E131" s="8" t="s">
        <v>119</v>
      </c>
      <c r="F131" s="20" t="n">
        <f aca="false">TRUE()</f>
        <v>1</v>
      </c>
      <c r="G131" s="17" t="s">
        <v>229</v>
      </c>
    </row>
    <row r="132" customFormat="false" ht="16.4" hidden="false" customHeight="false" outlineLevel="0" collapsed="false">
      <c r="A132" s="8" t="s">
        <v>120</v>
      </c>
      <c r="B132" s="30" t="n">
        <f aca="false">TRUE()</f>
        <v>1</v>
      </c>
      <c r="C132" s="23" t="s">
        <v>229</v>
      </c>
      <c r="E132" s="8" t="s">
        <v>120</v>
      </c>
      <c r="F132" s="20" t="n">
        <f aca="false">TRUE()</f>
        <v>1</v>
      </c>
      <c r="G132" s="23" t="s">
        <v>229</v>
      </c>
    </row>
    <row r="133" customFormat="false" ht="16.4" hidden="false" customHeight="false" outlineLevel="0" collapsed="false">
      <c r="A133" s="11" t="s">
        <v>197</v>
      </c>
      <c r="B133" s="30" t="n">
        <f aca="false">TRUE()</f>
        <v>1</v>
      </c>
      <c r="C133" s="26" t="s">
        <v>229</v>
      </c>
      <c r="E133" s="11" t="s">
        <v>197</v>
      </c>
      <c r="F133" s="20" t="n">
        <f aca="false">TRUE()</f>
        <v>1</v>
      </c>
      <c r="G133" s="26" t="s">
        <v>229</v>
      </c>
    </row>
    <row r="134" customFormat="false" ht="16.4" hidden="false" customHeight="false" outlineLevel="0" collapsed="false">
      <c r="A134" s="8" t="s">
        <v>121</v>
      </c>
      <c r="B134" s="30" t="n">
        <f aca="false">TRUE()</f>
        <v>1</v>
      </c>
      <c r="C134" s="23" t="s">
        <v>229</v>
      </c>
      <c r="E134" s="8" t="s">
        <v>121</v>
      </c>
      <c r="F134" s="20" t="n">
        <f aca="false">TRUE()</f>
        <v>1</v>
      </c>
      <c r="G134" s="23" t="s">
        <v>229</v>
      </c>
    </row>
    <row r="135" customFormat="false" ht="13.8" hidden="false" customHeight="false" outlineLevel="0" collapsed="false">
      <c r="A135" s="11" t="s">
        <v>180</v>
      </c>
      <c r="B135" s="30" t="n">
        <f aca="false">FALSE()</f>
        <v>0</v>
      </c>
      <c r="C135" s="26" t="s">
        <v>230</v>
      </c>
      <c r="E135" s="11" t="s">
        <v>180</v>
      </c>
      <c r="F135" s="20" t="n">
        <f aca="false">FALSE()</f>
        <v>0</v>
      </c>
      <c r="G135" s="26" t="s">
        <v>230</v>
      </c>
    </row>
    <row r="136" customFormat="false" ht="16.4" hidden="false" customHeight="false" outlineLevel="0" collapsed="false">
      <c r="A136" s="8" t="s">
        <v>122</v>
      </c>
      <c r="B136" s="30" t="n">
        <f aca="false">TRUE()</f>
        <v>1</v>
      </c>
      <c r="C136" s="23" t="s">
        <v>229</v>
      </c>
      <c r="E136" s="8" t="s">
        <v>122</v>
      </c>
      <c r="F136" s="20" t="n">
        <f aca="false">TRUE()</f>
        <v>1</v>
      </c>
      <c r="G136" s="23" t="s">
        <v>229</v>
      </c>
    </row>
    <row r="137" customFormat="false" ht="16.4" hidden="false" customHeight="false" outlineLevel="0" collapsed="false">
      <c r="A137" s="8" t="s">
        <v>123</v>
      </c>
      <c r="B137" s="30" t="n">
        <f aca="false">FALSE()</f>
        <v>0</v>
      </c>
      <c r="C137" s="17" t="s">
        <v>230</v>
      </c>
      <c r="E137" s="8" t="s">
        <v>123</v>
      </c>
      <c r="F137" s="20" t="n">
        <f aca="false">FALSE()</f>
        <v>0</v>
      </c>
      <c r="G137" s="17" t="s">
        <v>230</v>
      </c>
    </row>
    <row r="138" customFormat="false" ht="13.8" hidden="false" customHeight="false" outlineLevel="0" collapsed="false">
      <c r="A138" s="11" t="s">
        <v>196</v>
      </c>
      <c r="B138" s="30" t="n">
        <f aca="false">FALSE()</f>
        <v>0</v>
      </c>
      <c r="C138" s="26" t="s">
        <v>230</v>
      </c>
      <c r="E138" s="11" t="s">
        <v>196</v>
      </c>
      <c r="F138" s="20" t="n">
        <f aca="false">FALSE()</f>
        <v>0</v>
      </c>
      <c r="G138" s="26" t="s">
        <v>230</v>
      </c>
    </row>
    <row r="139" customFormat="false" ht="16.4" hidden="false" customHeight="false" outlineLevel="0" collapsed="false">
      <c r="A139" s="8" t="s">
        <v>124</v>
      </c>
      <c r="B139" s="30" t="n">
        <f aca="false">TRUE()</f>
        <v>1</v>
      </c>
      <c r="C139" s="23" t="s">
        <v>229</v>
      </c>
      <c r="E139" s="8" t="s">
        <v>124</v>
      </c>
      <c r="F139" s="20" t="n">
        <f aca="false">TRUE()</f>
        <v>1</v>
      </c>
      <c r="G139" s="23" t="s">
        <v>229</v>
      </c>
    </row>
    <row r="140" customFormat="false" ht="16.4" hidden="false" customHeight="false" outlineLevel="0" collapsed="false">
      <c r="A140" s="8" t="s">
        <v>125</v>
      </c>
      <c r="B140" s="30" t="n">
        <f aca="false">TRUE()</f>
        <v>1</v>
      </c>
      <c r="C140" s="17" t="s">
        <v>229</v>
      </c>
      <c r="E140" s="8" t="s">
        <v>125</v>
      </c>
      <c r="F140" s="20" t="n">
        <f aca="false">TRUE()</f>
        <v>1</v>
      </c>
      <c r="G140" s="17" t="s">
        <v>229</v>
      </c>
    </row>
    <row r="141" customFormat="false" ht="16.4" hidden="false" customHeight="false" outlineLevel="0" collapsed="false">
      <c r="A141" s="8" t="s">
        <v>126</v>
      </c>
      <c r="B141" s="30" t="n">
        <f aca="false">TRUE()</f>
        <v>1</v>
      </c>
      <c r="C141" s="17" t="s">
        <v>229</v>
      </c>
      <c r="E141" s="8" t="s">
        <v>126</v>
      </c>
      <c r="F141" s="20" t="n">
        <f aca="false">TRUE()</f>
        <v>1</v>
      </c>
      <c r="G141" s="17" t="s">
        <v>229</v>
      </c>
    </row>
    <row r="142" customFormat="false" ht="16.4" hidden="false" customHeight="false" outlineLevel="0" collapsed="false">
      <c r="A142" s="8" t="s">
        <v>127</v>
      </c>
      <c r="B142" s="30" t="n">
        <f aca="false">TRUE()</f>
        <v>1</v>
      </c>
      <c r="C142" s="17" t="s">
        <v>229</v>
      </c>
      <c r="E142" s="8" t="s">
        <v>127</v>
      </c>
      <c r="F142" s="20" t="n">
        <f aca="false">TRUE()</f>
        <v>1</v>
      </c>
      <c r="G142" s="17" t="s">
        <v>229</v>
      </c>
    </row>
    <row r="143" customFormat="false" ht="13.8" hidden="false" customHeight="false" outlineLevel="0" collapsed="false">
      <c r="A143" s="11" t="s">
        <v>169</v>
      </c>
      <c r="B143" s="30" t="n">
        <f aca="false">FALSE()</f>
        <v>0</v>
      </c>
      <c r="C143" s="26" t="s">
        <v>230</v>
      </c>
      <c r="E143" s="11" t="s">
        <v>169</v>
      </c>
      <c r="F143" s="20" t="n">
        <f aca="false">FALSE()</f>
        <v>0</v>
      </c>
      <c r="G143" s="26" t="s">
        <v>230</v>
      </c>
    </row>
    <row r="144" customFormat="false" ht="16.4" hidden="false" customHeight="false" outlineLevel="0" collapsed="false">
      <c r="A144" s="11" t="s">
        <v>178</v>
      </c>
      <c r="B144" s="30" t="n">
        <f aca="false">TRUE()</f>
        <v>1</v>
      </c>
      <c r="C144" s="26" t="s">
        <v>229</v>
      </c>
      <c r="E144" s="11" t="s">
        <v>178</v>
      </c>
      <c r="F144" s="20" t="n">
        <f aca="false">TRUE()</f>
        <v>1</v>
      </c>
      <c r="G144" s="26" t="s">
        <v>229</v>
      </c>
    </row>
    <row r="145" customFormat="false" ht="23.85" hidden="false" customHeight="false" outlineLevel="0" collapsed="false">
      <c r="A145" s="9" t="s">
        <v>244</v>
      </c>
      <c r="B145" s="30" t="n">
        <f aca="false">FALSE()</f>
        <v>0</v>
      </c>
      <c r="C145" s="17" t="s">
        <v>230</v>
      </c>
      <c r="E145" s="9" t="s">
        <v>244</v>
      </c>
      <c r="F145" s="20" t="n">
        <f aca="false">FALSE()</f>
        <v>0</v>
      </c>
      <c r="G145" s="17" t="s">
        <v>230</v>
      </c>
    </row>
    <row r="146" customFormat="false" ht="13.8" hidden="false" customHeight="false" outlineLevel="0" collapsed="false">
      <c r="A146" s="11" t="s">
        <v>167</v>
      </c>
      <c r="B146" s="30" t="n">
        <f aca="false">FALSE()</f>
        <v>0</v>
      </c>
      <c r="C146" s="26" t="s">
        <v>230</v>
      </c>
      <c r="E146" s="11" t="s">
        <v>167</v>
      </c>
      <c r="F146" s="20" t="n">
        <f aca="false">FALSE()</f>
        <v>0</v>
      </c>
      <c r="G146" s="26" t="s">
        <v>230</v>
      </c>
    </row>
    <row r="147" customFormat="false" ht="23.85" hidden="false" customHeight="false" outlineLevel="0" collapsed="false">
      <c r="A147" s="9" t="s">
        <v>245</v>
      </c>
      <c r="B147" s="30" t="n">
        <f aca="false">TRUE()</f>
        <v>1</v>
      </c>
      <c r="C147" s="17" t="s">
        <v>230</v>
      </c>
      <c r="E147" s="9" t="s">
        <v>245</v>
      </c>
      <c r="F147" s="20" t="n">
        <f aca="false">TRUE()</f>
        <v>1</v>
      </c>
      <c r="G147" s="17" t="s">
        <v>230</v>
      </c>
    </row>
    <row r="148" customFormat="false" ht="16.4" hidden="false" customHeight="false" outlineLevel="0" collapsed="false">
      <c r="A148" s="8" t="s">
        <v>130</v>
      </c>
      <c r="B148" s="30" t="n">
        <f aca="false">TRUE()</f>
        <v>1</v>
      </c>
      <c r="C148" s="23" t="s">
        <v>229</v>
      </c>
      <c r="E148" s="8" t="s">
        <v>130</v>
      </c>
      <c r="F148" s="20" t="n">
        <f aca="false">TRUE()</f>
        <v>1</v>
      </c>
      <c r="G148" s="23" t="s">
        <v>229</v>
      </c>
    </row>
    <row r="149" customFormat="false" ht="16.4" hidden="false" customHeight="false" outlineLevel="0" collapsed="false">
      <c r="A149" s="8" t="s">
        <v>131</v>
      </c>
      <c r="B149" s="30" t="n">
        <f aca="false">FALSE()</f>
        <v>0</v>
      </c>
      <c r="C149" s="17" t="s">
        <v>230</v>
      </c>
      <c r="E149" s="8" t="s">
        <v>131</v>
      </c>
      <c r="F149" s="20" t="n">
        <f aca="false">TRUE()</f>
        <v>1</v>
      </c>
      <c r="G149" s="17" t="s">
        <v>230</v>
      </c>
    </row>
    <row r="150" customFormat="false" ht="16.4" hidden="false" customHeight="false" outlineLevel="0" collapsed="false">
      <c r="A150" s="8" t="s">
        <v>132</v>
      </c>
      <c r="B150" s="30" t="n">
        <f aca="false">TRUE()</f>
        <v>1</v>
      </c>
      <c r="C150" s="17" t="s">
        <v>230</v>
      </c>
      <c r="E150" s="8" t="s">
        <v>132</v>
      </c>
      <c r="F150" s="20" t="n">
        <f aca="false">TRUE()</f>
        <v>1</v>
      </c>
      <c r="G150" s="17" t="s">
        <v>230</v>
      </c>
    </row>
    <row r="151" customFormat="false" ht="23.85" hidden="false" customHeight="false" outlineLevel="0" collapsed="false">
      <c r="A151" s="9" t="s">
        <v>246</v>
      </c>
      <c r="B151" s="30" t="n">
        <f aca="false">TRUE()</f>
        <v>1</v>
      </c>
      <c r="C151" s="17" t="s">
        <v>230</v>
      </c>
      <c r="E151" s="9" t="s">
        <v>246</v>
      </c>
      <c r="F151" s="20" t="n">
        <f aca="false">TRUE()</f>
        <v>1</v>
      </c>
      <c r="G151" s="17" t="s">
        <v>230</v>
      </c>
    </row>
    <row r="152" customFormat="false" ht="16.4" hidden="false" customHeight="false" outlineLevel="0" collapsed="false">
      <c r="A152" s="11" t="s">
        <v>161</v>
      </c>
      <c r="B152" s="30" t="n">
        <f aca="false">TRUE()</f>
        <v>1</v>
      </c>
      <c r="C152" s="26" t="s">
        <v>229</v>
      </c>
      <c r="E152" s="11" t="s">
        <v>161</v>
      </c>
      <c r="F152" s="20" t="n">
        <f aca="false">TRUE()</f>
        <v>1</v>
      </c>
      <c r="G152" s="26" t="s">
        <v>229</v>
      </c>
    </row>
    <row r="153" customFormat="false" ht="23.85" hidden="false" customHeight="false" outlineLevel="0" collapsed="false">
      <c r="A153" s="9" t="s">
        <v>250</v>
      </c>
      <c r="B153" s="30" t="n">
        <f aca="false">FALSE()</f>
        <v>0</v>
      </c>
      <c r="C153" s="26" t="s">
        <v>230</v>
      </c>
      <c r="E153" s="9" t="s">
        <v>250</v>
      </c>
      <c r="F153" s="20" t="n">
        <f aca="false">TRUE()</f>
        <v>1</v>
      </c>
      <c r="G153" s="26" t="s">
        <v>230</v>
      </c>
    </row>
    <row r="154" customFormat="false" ht="16.4" hidden="false" customHeight="false" outlineLevel="0" collapsed="false">
      <c r="A154" s="8" t="s">
        <v>134</v>
      </c>
      <c r="B154" s="30" t="n">
        <f aca="false">TRUE()</f>
        <v>1</v>
      </c>
      <c r="C154" s="23" t="s">
        <v>229</v>
      </c>
      <c r="E154" s="8" t="s">
        <v>134</v>
      </c>
      <c r="F154" s="20" t="n">
        <f aca="false">TRUE()</f>
        <v>1</v>
      </c>
      <c r="G154" s="23" t="s">
        <v>229</v>
      </c>
    </row>
    <row r="155" customFormat="false" ht="16.4" hidden="false" customHeight="false" outlineLevel="0" collapsed="false">
      <c r="A155" s="8" t="s">
        <v>135</v>
      </c>
      <c r="B155" s="30" t="n">
        <f aca="false">TRUE()</f>
        <v>1</v>
      </c>
      <c r="C155" s="23" t="s">
        <v>229</v>
      </c>
      <c r="E155" s="8" t="s">
        <v>135</v>
      </c>
      <c r="F155" s="20" t="n">
        <f aca="false">TRUE()</f>
        <v>1</v>
      </c>
      <c r="G155" s="23" t="s">
        <v>229</v>
      </c>
    </row>
    <row r="156" customFormat="false" ht="16.4" hidden="false" customHeight="false" outlineLevel="0" collapsed="false">
      <c r="A156" s="11" t="s">
        <v>176</v>
      </c>
      <c r="B156" s="30" t="n">
        <f aca="false">TRUE()</f>
        <v>1</v>
      </c>
      <c r="C156" s="26" t="s">
        <v>230</v>
      </c>
      <c r="E156" s="11" t="s">
        <v>176</v>
      </c>
      <c r="F156" s="20" t="n">
        <f aca="false">TRUE()</f>
        <v>1</v>
      </c>
      <c r="G156" s="26" t="s">
        <v>230</v>
      </c>
    </row>
    <row r="157" customFormat="false" ht="16.4" hidden="false" customHeight="false" outlineLevel="0" collapsed="false">
      <c r="A157" s="8" t="s">
        <v>136</v>
      </c>
      <c r="B157" s="30" t="n">
        <f aca="false">TRUE()</f>
        <v>1</v>
      </c>
      <c r="C157" s="17" t="s">
        <v>230</v>
      </c>
      <c r="E157" s="8" t="s">
        <v>136</v>
      </c>
      <c r="F157" s="20" t="n">
        <f aca="false">FALSE()</f>
        <v>0</v>
      </c>
      <c r="G157" s="17" t="s">
        <v>230</v>
      </c>
    </row>
    <row r="158" customFormat="false" ht="23.85" hidden="false" customHeight="false" outlineLevel="0" collapsed="false">
      <c r="A158" s="9" t="s">
        <v>247</v>
      </c>
      <c r="B158" s="30" t="n">
        <f aca="false">TRUE()</f>
        <v>1</v>
      </c>
      <c r="C158" s="17" t="s">
        <v>229</v>
      </c>
      <c r="E158" s="9" t="s">
        <v>247</v>
      </c>
      <c r="F158" s="20" t="n">
        <f aca="false">TRUE()</f>
        <v>1</v>
      </c>
      <c r="G158" s="17" t="s">
        <v>229</v>
      </c>
    </row>
    <row r="159" customFormat="false" ht="16.4" hidden="false" customHeight="false" outlineLevel="0" collapsed="false">
      <c r="A159" s="8" t="s">
        <v>138</v>
      </c>
      <c r="B159" s="30" t="n">
        <f aca="false">TRUE()</f>
        <v>1</v>
      </c>
      <c r="C159" s="17" t="s">
        <v>230</v>
      </c>
      <c r="E159" s="8" t="s">
        <v>138</v>
      </c>
      <c r="F159" s="20" t="n">
        <f aca="false">TRUE()</f>
        <v>1</v>
      </c>
      <c r="G159" s="17" t="s">
        <v>230</v>
      </c>
    </row>
    <row r="160" customFormat="false" ht="16.4" hidden="false" customHeight="false" outlineLevel="0" collapsed="false">
      <c r="A160" s="8" t="s">
        <v>139</v>
      </c>
      <c r="B160" s="30" t="n">
        <f aca="false">TRUE()</f>
        <v>1</v>
      </c>
      <c r="C160" s="17" t="s">
        <v>229</v>
      </c>
      <c r="E160" s="8" t="s">
        <v>139</v>
      </c>
      <c r="F160" s="20" t="n">
        <f aca="false">TRUE()</f>
        <v>1</v>
      </c>
      <c r="G160" s="17" t="s">
        <v>229</v>
      </c>
    </row>
    <row r="161" customFormat="false" ht="16.4" hidden="false" customHeight="false" outlineLevel="0" collapsed="false">
      <c r="A161" s="8" t="s">
        <v>140</v>
      </c>
      <c r="B161" s="30" t="n">
        <f aca="false">TRUE()</f>
        <v>1</v>
      </c>
      <c r="C161" s="23" t="s">
        <v>229</v>
      </c>
      <c r="E161" s="8" t="s">
        <v>140</v>
      </c>
      <c r="F161" s="20" t="n">
        <f aca="false">TRUE()</f>
        <v>1</v>
      </c>
      <c r="G161" s="23" t="s">
        <v>229</v>
      </c>
    </row>
    <row r="162" customFormat="false" ht="16.4" hidden="false" customHeight="false" outlineLevel="0" collapsed="false">
      <c r="A162" s="8" t="s">
        <v>141</v>
      </c>
      <c r="B162" s="30" t="n">
        <f aca="false">TRUE()</f>
        <v>1</v>
      </c>
      <c r="C162" s="17" t="s">
        <v>230</v>
      </c>
      <c r="E162" s="8" t="s">
        <v>141</v>
      </c>
      <c r="F162" s="20" t="n">
        <f aca="false">TRUE()</f>
        <v>1</v>
      </c>
      <c r="G162" s="17" t="s">
        <v>230</v>
      </c>
    </row>
    <row r="163" customFormat="false" ht="16.4" hidden="false" customHeight="false" outlineLevel="0" collapsed="false">
      <c r="A163" s="8" t="s">
        <v>142</v>
      </c>
      <c r="B163" s="30" t="n">
        <f aca="false">TRUE()</f>
        <v>1</v>
      </c>
      <c r="C163" s="17" t="s">
        <v>229</v>
      </c>
      <c r="E163" s="8" t="s">
        <v>142</v>
      </c>
      <c r="F163" s="20" t="n">
        <f aca="false">TRUE()</f>
        <v>1</v>
      </c>
      <c r="G163" s="17" t="s">
        <v>229</v>
      </c>
    </row>
    <row r="164" customFormat="false" ht="16.4" hidden="false" customHeight="false" outlineLevel="0" collapsed="false">
      <c r="A164" s="12" t="s">
        <v>201</v>
      </c>
      <c r="B164" s="31" t="n">
        <f aca="false">FALSE()</f>
        <v>0</v>
      </c>
      <c r="C164" s="26" t="s">
        <v>230</v>
      </c>
      <c r="E164" s="12" t="s">
        <v>201</v>
      </c>
      <c r="F164" s="1" t="s">
        <v>262</v>
      </c>
      <c r="G164" s="26" t="s">
        <v>230</v>
      </c>
    </row>
    <row r="165" customFormat="false" ht="13.8" hidden="false" customHeight="false" outlineLevel="0" collapsed="false">
      <c r="A165" s="11" t="s">
        <v>185</v>
      </c>
      <c r="B165" s="30" t="n">
        <f aca="false">FALSE()</f>
        <v>0</v>
      </c>
      <c r="C165" s="26" t="s">
        <v>229</v>
      </c>
      <c r="E165" s="11" t="s">
        <v>185</v>
      </c>
      <c r="F165" s="20" t="n">
        <f aca="false">FALSE()</f>
        <v>0</v>
      </c>
      <c r="G165" s="26" t="s">
        <v>229</v>
      </c>
    </row>
    <row r="166" customFormat="false" ht="16.4" hidden="false" customHeight="false" outlineLevel="0" collapsed="false">
      <c r="A166" s="8" t="s">
        <v>143</v>
      </c>
      <c r="B166" s="30" t="n">
        <f aca="false">TRUE()</f>
        <v>1</v>
      </c>
      <c r="C166" s="23" t="s">
        <v>230</v>
      </c>
      <c r="E166" s="8" t="s">
        <v>143</v>
      </c>
      <c r="F166" s="20" t="n">
        <f aca="false">TRUE()</f>
        <v>1</v>
      </c>
      <c r="G166" s="23" t="s">
        <v>230</v>
      </c>
    </row>
    <row r="167" customFormat="false" ht="16.4" hidden="false" customHeight="false" outlineLevel="0" collapsed="false">
      <c r="A167" s="8" t="s">
        <v>144</v>
      </c>
      <c r="B167" s="30" t="n">
        <f aca="false">TRUE()</f>
        <v>1</v>
      </c>
      <c r="C167" s="17" t="s">
        <v>229</v>
      </c>
      <c r="E167" s="8" t="s">
        <v>144</v>
      </c>
      <c r="F167" s="20" t="n">
        <f aca="false">TRUE()</f>
        <v>1</v>
      </c>
      <c r="G167" s="17" t="s">
        <v>229</v>
      </c>
    </row>
    <row r="168" customFormat="false" ht="16.4" hidden="false" customHeight="false" outlineLevel="0" collapsed="false">
      <c r="A168" s="8" t="s">
        <v>145</v>
      </c>
      <c r="B168" s="30" t="n">
        <f aca="false">FALSE()</f>
        <v>0</v>
      </c>
      <c r="C168" s="17" t="s">
        <v>230</v>
      </c>
      <c r="E168" s="8" t="s">
        <v>145</v>
      </c>
      <c r="F168" s="20" t="n">
        <f aca="false">FALSE()</f>
        <v>0</v>
      </c>
      <c r="G168" s="17" t="s">
        <v>230</v>
      </c>
    </row>
    <row r="169" customFormat="false" ht="16.4" hidden="false" customHeight="false" outlineLevel="0" collapsed="false">
      <c r="A169" s="8" t="s">
        <v>146</v>
      </c>
      <c r="B169" s="30" t="n">
        <f aca="false">TRUE()</f>
        <v>1</v>
      </c>
      <c r="C169" s="17" t="s">
        <v>230</v>
      </c>
      <c r="E169" s="8" t="s">
        <v>146</v>
      </c>
      <c r="F169" s="20" t="n">
        <f aca="false">TRUE()</f>
        <v>1</v>
      </c>
      <c r="G169" s="17" t="s">
        <v>230</v>
      </c>
    </row>
    <row r="170" customFormat="false" ht="16.4" hidden="false" customHeight="false" outlineLevel="0" collapsed="false">
      <c r="A170" s="8" t="s">
        <v>147</v>
      </c>
      <c r="B170" s="30" t="n">
        <f aca="false">TRUE()</f>
        <v>1</v>
      </c>
      <c r="C170" s="17" t="s">
        <v>229</v>
      </c>
      <c r="E170" s="8" t="s">
        <v>147</v>
      </c>
      <c r="F170" s="20" t="n">
        <f aca="false">TRUE()</f>
        <v>1</v>
      </c>
      <c r="G170" s="17" t="s">
        <v>229</v>
      </c>
    </row>
    <row r="171" customFormat="false" ht="16.4" hidden="false" customHeight="false" outlineLevel="0" collapsed="false">
      <c r="A171" s="8" t="s">
        <v>148</v>
      </c>
      <c r="B171" s="30" t="n">
        <f aca="false">FALSE()</f>
        <v>0</v>
      </c>
      <c r="C171" s="17" t="s">
        <v>230</v>
      </c>
      <c r="E171" s="8" t="s">
        <v>148</v>
      </c>
      <c r="F171" s="20" t="n">
        <f aca="false">FALSE()</f>
        <v>0</v>
      </c>
      <c r="G171" s="17" t="s">
        <v>230</v>
      </c>
    </row>
    <row r="172" customFormat="false" ht="13.8" hidden="false" customHeight="false" outlineLevel="0" collapsed="false">
      <c r="A172" s="11" t="s">
        <v>189</v>
      </c>
      <c r="B172" s="30" t="n">
        <f aca="false">FALSE()</f>
        <v>0</v>
      </c>
      <c r="C172" s="26" t="s">
        <v>230</v>
      </c>
      <c r="E172" s="11" t="s">
        <v>189</v>
      </c>
      <c r="F172" s="20" t="n">
        <f aca="false">FALSE()</f>
        <v>0</v>
      </c>
      <c r="G172" s="26" t="s">
        <v>230</v>
      </c>
    </row>
    <row r="173" customFormat="false" ht="16.4" hidden="false" customHeight="false" outlineLevel="0" collapsed="false">
      <c r="A173" s="8" t="s">
        <v>149</v>
      </c>
      <c r="B173" s="30" t="n">
        <f aca="false">TRUE()</f>
        <v>1</v>
      </c>
      <c r="C173" s="23" t="s">
        <v>229</v>
      </c>
      <c r="E173" s="8" t="s">
        <v>149</v>
      </c>
      <c r="F173" s="20" t="n">
        <f aca="false">TRUE()</f>
        <v>1</v>
      </c>
      <c r="G173" s="23" t="s">
        <v>229</v>
      </c>
    </row>
    <row r="174" customFormat="false" ht="16.4" hidden="false" customHeight="false" outlineLevel="0" collapsed="false">
      <c r="A174" s="8" t="s">
        <v>150</v>
      </c>
      <c r="B174" s="30" t="n">
        <f aca="false">TRUE()</f>
        <v>1</v>
      </c>
      <c r="C174" s="17" t="s">
        <v>229</v>
      </c>
      <c r="E174" s="8" t="s">
        <v>150</v>
      </c>
      <c r="F174" s="20" t="n">
        <f aca="false">TRUE()</f>
        <v>1</v>
      </c>
      <c r="G174" s="17" t="s">
        <v>229</v>
      </c>
    </row>
    <row r="175" customFormat="false" ht="16.4" hidden="false" customHeight="false" outlineLevel="0" collapsed="false">
      <c r="A175" s="11" t="s">
        <v>166</v>
      </c>
      <c r="B175" s="30" t="n">
        <f aca="false">TRUE()</f>
        <v>1</v>
      </c>
      <c r="C175" s="26" t="s">
        <v>229</v>
      </c>
      <c r="E175" s="11" t="s">
        <v>166</v>
      </c>
      <c r="F175" s="20" t="n">
        <f aca="false">TRUE()</f>
        <v>1</v>
      </c>
      <c r="G175" s="26" t="s">
        <v>229</v>
      </c>
    </row>
    <row r="176" customFormat="false" ht="16.4" hidden="false" customHeight="false" outlineLevel="0" collapsed="false">
      <c r="A176" s="8" t="s">
        <v>151</v>
      </c>
      <c r="B176" s="30" t="n">
        <f aca="false">TRUE()</f>
        <v>1</v>
      </c>
      <c r="C176" s="17" t="s">
        <v>229</v>
      </c>
      <c r="E176" s="8" t="s">
        <v>151</v>
      </c>
      <c r="F176" s="20" t="n">
        <f aca="false">FALSE()</f>
        <v>0</v>
      </c>
      <c r="G176" s="17" t="s">
        <v>229</v>
      </c>
    </row>
  </sheetData>
  <conditionalFormatting sqref="C1:C176 G1:G176">
    <cfRule type="containsText" priority="2" operator="containsText" aboveAverage="0" equalAverage="0" bottom="0" percent="0" rank="0" text="N" dxfId="0">
      <formula>NOT(ISERROR(SEARCH("N",C1)))</formula>
    </cfRule>
    <cfRule type="containsText" priority="3" operator="containsText" aboveAverage="0" equalAverage="0" bottom="0" percent="0" rank="0" text="Y" dxfId="1">
      <formula>NOT(ISERROR(SEARCH("Y",C1)))</formula>
    </cfRule>
  </conditionalFormatting>
  <conditionalFormatting sqref="B1:B176">
    <cfRule type="expression" priority="4" aboveAverage="0" equalAverage="0" bottom="0" percent="0" rank="0" text="" dxfId="2">
      <formula>AND(B1=1, C1="n")</formula>
    </cfRule>
    <cfRule type="expression" priority="5" aboveAverage="0" equalAverage="0" bottom="0" percent="0" rank="0" text="" dxfId="1">
      <formula>AND(B1=1, C1="y")</formula>
    </cfRule>
    <cfRule type="expression" priority="6" aboveAverage="0" equalAverage="0" bottom="0" percent="0" rank="0" text="" dxfId="3">
      <formula>B1=0</formula>
    </cfRule>
  </conditionalFormatting>
  <hyperlinks>
    <hyperlink ref="A20" r:id="rId1" display="Current Affairs"/>
    <hyperlink ref="E20" r:id="rId2" display="Current Affairs"/>
    <hyperlink ref="A110" r:id="rId3" display="Pandemonium"/>
    <hyperlink ref="E110" r:id="rId4" display="Pandemonium"/>
    <hyperlink ref="A118" r:id="rId5" display="Prying Times"/>
    <hyperlink ref="E118" r:id="rId6" display="Prying Times"/>
    <hyperlink ref="A164" r:id="rId7" display="Troubled Tortugans"/>
    <hyperlink ref="E164" r:id="rId8" display="Troubled Tortugan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2025-11-29T00:08:49Z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